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308fe5676bbb12c4/Documents/GitHub/igt-project/data/raw/"/>
    </mc:Choice>
  </mc:AlternateContent>
  <xr:revisionPtr revIDLastSave="2" documentId="13_ncr:1_{6E4886A8-39AF-4785-98B1-90BD24F5175C}" xr6:coauthVersionLast="47" xr6:coauthVersionMax="47" xr10:uidLastSave="{737D7815-7CBC-4811-A1FC-CCC7402C930B}"/>
  <bookViews>
    <workbookView xWindow="720" yWindow="1305" windowWidth="28275" windowHeight="18945" xr2:uid="{00000000-000D-0000-FFFF-FFFF00000000}"/>
  </bookViews>
  <sheets>
    <sheet name="categorization" sheetId="1" r:id="rId1"/>
    <sheet name="categories" sheetId="2" r:id="rId2"/>
  </sheets>
  <definedNames>
    <definedName name="cat">categorization!$D$2:$D$101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27/ovlRjEJvW9jqZ+Gg4Uo1R63g=="/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</calcChain>
</file>

<file path=xl/sharedStrings.xml><?xml version="1.0" encoding="utf-8"?>
<sst xmlns="http://schemas.openxmlformats.org/spreadsheetml/2006/main" count="398" uniqueCount="298">
  <si>
    <t>article_id</t>
  </si>
  <si>
    <t>authors</t>
  </si>
  <si>
    <t>year</t>
  </si>
  <si>
    <t>003</t>
  </si>
  <si>
    <t>Sigurdardottir, Solrun; Jerstad, Tone; Andelic, Nada; Roe, Cecilie; Schanke, Anne-Kristine</t>
  </si>
  <si>
    <t>2010</t>
  </si>
  <si>
    <t>004</t>
  </si>
  <si>
    <t>Rodríguez-Sánchez, José Manuel; Crespo-Facorro, Benedicto; Iglesias, Rocío Perez; Bosch, César González-Blanch; Álvarez, Mario; Llorca, Javier; Vázquez-Barquero, José Luis</t>
  </si>
  <si>
    <t>2005</t>
  </si>
  <si>
    <t>005</t>
  </si>
  <si>
    <t>Tamm, Leanne; Epstein, Jeffery N.; Lisdahl, Krista M.; Molina, Brooke; Tapert, Susan; Hinshaw, Stephen P.; Arnold, L. Eugene; Velanova, Katerina; Abikoff, Howard; Swanson, James M.</t>
  </si>
  <si>
    <t>2013</t>
  </si>
  <si>
    <t>006</t>
  </si>
  <si>
    <t>Shirayama, Yukihiko; Takahashi, Michio; Suzuki, Masatoshi; Tsuruoka, Yoshiaki; Sato, Koichi</t>
  </si>
  <si>
    <t>2014</t>
  </si>
  <si>
    <t>008</t>
  </si>
  <si>
    <t>Angioletti, Laura; Campanella, Salvatore; Balconi, Michela</t>
  </si>
  <si>
    <t>2020</t>
  </si>
  <si>
    <t>009</t>
  </si>
  <si>
    <t>Schutter, Dennis J. L. G.; Haan, Edward H. F. de; van Honk, Jack</t>
  </si>
  <si>
    <t>2004</t>
  </si>
  <si>
    <t>010</t>
  </si>
  <si>
    <t>Verdejo-García, Antonio; Albein-Urios, Natalia; Molina, Esther; Ching-López, Ana; Martínez-González, José M.; Gutiérrez, Blanca</t>
  </si>
  <si>
    <t>012</t>
  </si>
  <si>
    <t>Davies, Julie L.; Turnbull, Oliver H.</t>
  </si>
  <si>
    <t>2011</t>
  </si>
  <si>
    <t>015</t>
  </si>
  <si>
    <t>Duell, Natasha; Steinberg, Laurence; Chein, Jason; Al-Hassan, Suha M.; Bacchini, Dario; Lei, Chang; Chaudhary, Nandita; Di Giunta, Laura; Dodge, Kenneth A.; Fanti, Kostas A.; Lansford, Jennifer E.; Malone, Patrick S.; Oburu, Paul; Pastorelli, Concetta; Skinner, Ann T.; Sorbring, Emma; Tapanya, Sombat; Uribe Tirado, Liliana Maria; Alampay, Liane Peña</t>
  </si>
  <si>
    <t>2016</t>
  </si>
  <si>
    <t>016</t>
  </si>
  <si>
    <t>Miguel, Carmen S.; Martins, Paula A.; Moleda, Nathalya; Klein, Margarete; Chaim-Avancini, Tiffany; Gobbo, Maria A.; Cunha, Paulo J.; Alves, Tania M.; Silva, Maria A.; Louzã, Mario R.</t>
  </si>
  <si>
    <t>017</t>
  </si>
  <si>
    <t>Vassileva, Jasmin; Paxton, Jessica; Moeller, F. Gerard; Wilson, Michael J.; Bozgunov, Kiril; Martin, Eileen M.; Gonzalez, Raul; Vasilev, Georgi</t>
  </si>
  <si>
    <t>018</t>
  </si>
  <si>
    <t>Hayes, William M.; Wedell, Douglas H.</t>
  </si>
  <si>
    <t>019</t>
  </si>
  <si>
    <t>van den Bos, Ruud; Homberg, Judith; Gijsbers, Ellen; Heijer, Esther den; Cuppen, Edwin</t>
  </si>
  <si>
    <t>2009</t>
  </si>
  <si>
    <t>020</t>
  </si>
  <si>
    <t>Mussey, Joanna L.; Travers, Brittany G.; Klinger, Laura Grofer; Klinger, Mark R.</t>
  </si>
  <si>
    <t>2015</t>
  </si>
  <si>
    <t>021</t>
  </si>
  <si>
    <t>Ouerchefani, Riadh; Ouerchefani, Naoufel; Allain, Philippe; Ben Rejeb, Mohamed Riadh; Le Gall, Didier</t>
  </si>
  <si>
    <t>2019</t>
  </si>
  <si>
    <t>024</t>
  </si>
  <si>
    <t>Manes, Facundo; Sahakian, Barbara; Clark, Luke; Rogers, Robert; Antoun, Nagui; Aitken, Mike; Robbins, Trevor</t>
  </si>
  <si>
    <t>2002</t>
  </si>
  <si>
    <t>025</t>
  </si>
  <si>
    <t>Cassotti, Mathieu; Moutier, Sylvain</t>
  </si>
  <si>
    <t>026</t>
  </si>
  <si>
    <t>Vergara-Moragues, Esperanza; Verdejo-García, Antonio; Lozano, Oscar M.; Santiago-Ramajo, Sandra; González-Saiz, Francisco; Betanzos Espinosa, Patricia; Pérez García, Miguel</t>
  </si>
  <si>
    <t>2017</t>
  </si>
  <si>
    <t>027</t>
  </si>
  <si>
    <t>Fujiwara, Esther; Schwartz, Michael L.; Gao, Fuqiang; Black, Sandra E.; Levine, Brian</t>
  </si>
  <si>
    <t>2008</t>
  </si>
  <si>
    <t>028</t>
  </si>
  <si>
    <t>Vassileva, Jasmin; Petkova, Pavlina; Georgiev, Stefan; Martin, Eileen M.; Tersiyski, Ruslan; Raycheva, Margarita; Velinov, Vladimir; Marinov, Peter</t>
  </si>
  <si>
    <t>2007</t>
  </si>
  <si>
    <t>030</t>
  </si>
  <si>
    <t>Simioni, Samanta; Ruffieux, Christiane; Kleeberg, Joerg; Bruggimann, Laure; Du Pasquier, Renaud A.; Annoni, Jean-Marie; Schluep, Myriam</t>
  </si>
  <si>
    <t>032</t>
  </si>
  <si>
    <t>Drucaroff, Lucas Javier; Kievit, Rogier; Guinjoan, Salvador M.; Gerschcovich, Eliana Roldán; Cerquetti, Daniel; Leiguarda, Ramón; Cardinali, Daniel P.; Vigo, Daniel E.</t>
  </si>
  <si>
    <t>033</t>
  </si>
  <si>
    <t>Correas, A.; López-Caneda, E.; Beaton, L.; Rodríguez Holguín, S.; García-Moreno, L. M.; Antón-Toro, L. F.; Cadaveira, F.; Maestú, F.; Marinkovic, K.</t>
  </si>
  <si>
    <t>034</t>
  </si>
  <si>
    <t>van Toor, Désie; Roozen, Hendrik G.; Evans, Brittany E.; Rombout, Linda; van de Wetering, Ben J. M.; Vingerhoets, Ad J. J. M.</t>
  </si>
  <si>
    <t>035</t>
  </si>
  <si>
    <t>Lovallo, William R.; Yechiam, Eldad; Sorocco, Kristen H.; Vincent, Andrea S.; Collins, Frank L.</t>
  </si>
  <si>
    <t>2006</t>
  </si>
  <si>
    <t>036</t>
  </si>
  <si>
    <t>Olkoniemi, Henri; Ranta, Henri; Kaakinen, Johanna K.</t>
  </si>
  <si>
    <t>037</t>
  </si>
  <si>
    <t>Boeka, Abbe Gayle; Lokken, Kristine Lee</t>
  </si>
  <si>
    <t>038</t>
  </si>
  <si>
    <t>Webb, Christian A.; DelDonno, Sophie; Killgore, William D. S.</t>
  </si>
  <si>
    <t>039</t>
  </si>
  <si>
    <t>Brown, Elliot C.; Hack, Samantha M.; Gold, James M.; Carpenter, William T. [JR.]; Fischer, Bernard A.; Prentice, Kristen P.; Waltz, James A.</t>
  </si>
  <si>
    <t>043</t>
  </si>
  <si>
    <t>Olson, Elizabeth A.; Weber, Mareen; Rauch, Scott L.; Killgore, William D. S.</t>
  </si>
  <si>
    <t>047</t>
  </si>
  <si>
    <t>Moussa, Malaak Nasser; Wesley, Michael J.; Porrino, Linda J.; Hayasaka, Satoru; Bechara, Antoine; Burdette, Jonathan H.; Laurienti, Paul J.</t>
  </si>
  <si>
    <t>048</t>
  </si>
  <si>
    <t>Hilbert, Anja; Neuhaus, Petra; Köhler, Norbert; Petroff, David; Hay, Phillipa; Hübner, Claudia</t>
  </si>
  <si>
    <t>2021</t>
  </si>
  <si>
    <t>049</t>
  </si>
  <si>
    <t>Castro e Couto, Tiago; Neves, Fernando Silva; Machado, Maria Carolina Lobato; Vasconcelos, Alina Gomide; Correa, Humberto; Malloy-Diniz, Leandro Fernandes</t>
  </si>
  <si>
    <t>2012</t>
  </si>
  <si>
    <t>050</t>
  </si>
  <si>
    <t>Dolan, Sara L.; Bechara, Antoine; Nathan, Peter E.</t>
  </si>
  <si>
    <t>051</t>
  </si>
  <si>
    <t>Biars, Julia W.; Johnson, Nicole L.; Nespeca, Michelle; Busch, Robyn M.; Kubu, Cynthia S.; Floden, Darlene P.</t>
  </si>
  <si>
    <t>052</t>
  </si>
  <si>
    <t>Wilde, Bieke; Goudriaan, Anneke; Sabbe, Bernard; Hulstijn, Wouter; Dom, Geert</t>
  </si>
  <si>
    <t>053</t>
  </si>
  <si>
    <t>Pettorruso, Mauro; Martinotti, Giovanni; Cocciolillo, Fabrizio; Risio, Luisa de; Cinquino, Annarita; Di Nicola, Marco; Camardese, Giovanni; Migliara, Giuseppe; Moccia, Lorenzo; Conte, Eliana; Janiri, Luigi; Di Giuda, Daniela</t>
  </si>
  <si>
    <t>054</t>
  </si>
  <si>
    <t>Delpero, Carla; Mioni, Giovanna; Rubio, Jose Luis; Juárez Ramos, Verónica; Gómez Milán, Emilio; Stablum, Franca</t>
  </si>
  <si>
    <t>056</t>
  </si>
  <si>
    <t>Laier, Christian; Pawlikowski, Mirko; Brand, Matthias</t>
  </si>
  <si>
    <t>057</t>
  </si>
  <si>
    <t>Peatfield, Nicholas; Parkinson, John; Intriligator, James</t>
  </si>
  <si>
    <t>059</t>
  </si>
  <si>
    <t>Huang, Yumi H.; Wood, Stacey; Berger, Dale E.; Hanoch, Yaniv</t>
  </si>
  <si>
    <t>060</t>
  </si>
  <si>
    <t>Allom, Vanessa; Mullan, Barbara; Sebastian, Jamie</t>
  </si>
  <si>
    <t>061</t>
  </si>
  <si>
    <t>Gilbert, Alison M.; Garno, Jessica L.; Braga, Raphael J.; Shaya, Yaniv; Goldberg, Terry E.; Malhotra, Anil K.; Burdick, Katherine E.</t>
  </si>
  <si>
    <t>062</t>
  </si>
  <si>
    <t>Alexander, Peter D.; Gicas, Kristina M.; Willi, Taylor S.; Kim, Clara N.; Boyeva, Veronika; Procyshyn, Ric M.; Smith, Geoff N.; Thornton, Allen E.; Panenka, William J.; Jones, Andrea A.; Vila-Rodriguez, Fidel; Lang, Donna J.; William MacEwan, G.; Honer, William G.; Barr, Alasdair M.</t>
  </si>
  <si>
    <t>064</t>
  </si>
  <si>
    <t>Bayard, Sophie; Langenier, Muriel Croisier; Dauvilliers, Yves</t>
  </si>
  <si>
    <t>065</t>
  </si>
  <si>
    <t>Zorlu, Nabi; Ucman, Tugba Karavul; Gelal, Fazil; Kalayci, Cigdem Colak; Polat, Serap; Saricicek, Aybala; Zorlu, Pelin Kurtgöz; Gulseren, Seref</t>
  </si>
  <si>
    <t>066</t>
  </si>
  <si>
    <t>Becker, Mary P.; Collins, Paul F.; Schultz, Ashley; Urošević, Snežana; Schmaling, Brittany; Luciana, Monica</t>
  </si>
  <si>
    <t>2018</t>
  </si>
  <si>
    <t>067</t>
  </si>
  <si>
    <t>Oyama, Genko; Shimo, Yasushi; Natori, Shihoko; Nakajima, Madoka; Ishii, Hisato; Arai, Hajime; Hattori, Nobutaka</t>
  </si>
  <si>
    <t>068</t>
  </si>
  <si>
    <t>Wadsworth, L. P.; Hayes-Skelton, S. A.</t>
  </si>
  <si>
    <t>070</t>
  </si>
  <si>
    <t>Olkoniemi, Henri; Johander, Eerika; Kaakinen, Johanna K.</t>
  </si>
  <si>
    <t>071</t>
  </si>
  <si>
    <t>Kobayakawa, Mutsutaka; Tsuruya, Natsuko; Kawamura, Mitsuru</t>
  </si>
  <si>
    <t>072</t>
  </si>
  <si>
    <t>Agay, Nirit; Yechiam, Eldad; Carmel, Ziv; Levkovitz, Yechiel</t>
  </si>
  <si>
    <t>074</t>
  </si>
  <si>
    <t>Tolin, David F.; Villavicencio, Anna</t>
  </si>
  <si>
    <t>075</t>
  </si>
  <si>
    <t>Paiva, Maria L.; Rzezak, Patricia; Santos, Bernardo; Lima, Ellen M.; Moschetta, Sylvie P.; Vincentiis, Silvia; Alessi, Rudá; Mendoza, Melanie; Valente, Kette D.</t>
  </si>
  <si>
    <t>078</t>
  </si>
  <si>
    <t>Balconi, Michela; Finocchiaro, Roberta; Canavesio, Ylenia; Messina, Rossella</t>
  </si>
  <si>
    <t>079</t>
  </si>
  <si>
    <t>Moeller, F. Gerard; Steinberg, Joel L.; Lane, Scott D.; Buzby, Matthew; Swann, Alan C.; Hasan, Khader M.; Kramer, Larry A.; Narayana, Ponnada A.</t>
  </si>
  <si>
    <t>081</t>
  </si>
  <si>
    <t>Werner, Natalie S.; Jung, Katharina; Duschek, Stefan; Schandry, Rainer</t>
  </si>
  <si>
    <t>083</t>
  </si>
  <si>
    <t>Ciberti, Agnese; Cavalletti, Matteo; Palagini, Laura; Mariani, Michela Giorgi; Dell'Osso, Liliana; Mauri, Mauro; Maglio, Alessandra; Mucci, Federico; Marazziti, Donatella; Miniati, Mario</t>
  </si>
  <si>
    <t>084</t>
  </si>
  <si>
    <t>Bolla, Karen I.; Eldreth, D. A.; Matochik, J. A.; Cadet, J. L.</t>
  </si>
  <si>
    <t>085</t>
  </si>
  <si>
    <t>086</t>
  </si>
  <si>
    <t>Bauer, A. S.; Timpe, J. C.; Edmonds, E. C.; Bechara, Antoine; Tranel, Daniel; Denburg, Natalie L.</t>
  </si>
  <si>
    <t>087</t>
  </si>
  <si>
    <t>Overman, William; Graham, Lee; Redmond, Alyssa; Eubank, Rebecca; Boettcher, Laura; Samplawski, Olga; Walsh, Katherine</t>
  </si>
  <si>
    <t>088</t>
  </si>
  <si>
    <t>Ciccarelli, Maria; Griffiths, Mark D.; Nigro, Giovanna; Cosenza, Marina</t>
  </si>
  <si>
    <t>089</t>
  </si>
  <si>
    <t>Dretsch, Michael N.; Tipples, Jason</t>
  </si>
  <si>
    <t>090</t>
  </si>
  <si>
    <t>Bangma, Dorien F.; Koerts, Janneke; Fuermaier, Anselm B. M.; Mette, Christian; Zimmermann, Marco; Toussaint, Anna K.; Tucha, Lara; Tucha, Oliver</t>
  </si>
  <si>
    <t>091</t>
  </si>
  <si>
    <t>Lawrence, Natalia S.; Jollant, Fabrice; O'Daly, Owen; Zelaya, Fernando; Phillips, Mary L.</t>
  </si>
  <si>
    <t>092</t>
  </si>
  <si>
    <t>Soyata, Ahmet Zihni; Aksu, Serkan; Woods, Adam J.; İşçen, Pınar; Saçar, Kardelen Türkü; Karamürsel, Sacit</t>
  </si>
  <si>
    <t>093</t>
  </si>
  <si>
    <t>Rass, Olga; Umbricht, Annie; Bigelow, George E.; Strain, Eric C.; Johnson, Matthew W.; Mintzer, Miriam Z.</t>
  </si>
  <si>
    <t>095</t>
  </si>
  <si>
    <t>Cherkasova, Mariya V.; Clark, Luke; Barton, Jason J. S.; Schulzer, Michael; Shafiee, Mahsa; Kingstone, Alan; Stoessl, A. Jon; Winstanley, Catharine A.</t>
  </si>
  <si>
    <t>096</t>
  </si>
  <si>
    <t>Killgore, William D. S .; Balkin, Thomas J. ..; Wsensten, Nancy J.</t>
  </si>
  <si>
    <t>097</t>
  </si>
  <si>
    <t>Auzou, Nicolas; Foubert-Samier, Alexandra; Dupouy, Sandrine; Meissner, Wassilios G.</t>
  </si>
  <si>
    <t>098</t>
  </si>
  <si>
    <t>van den Eynde, Frédérique; Senturk, Vesile; Naudts, Kris; Vogels, Caroline; Bernagie, Katrien; Thas, Olivier; van Heeringen, Cornelis; Audenaert, Kurt</t>
  </si>
  <si>
    <t>100</t>
  </si>
  <si>
    <t>O'Brien, Jessica W.; Lichenstein, Sarah D.; Hill, Shirley Y.</t>
  </si>
  <si>
    <t>101</t>
  </si>
  <si>
    <t>Denburg, Natalie L.; Recknor, Emily C.; Bechara, Antoine; Tranel, Daniel</t>
  </si>
  <si>
    <t>103</t>
  </si>
  <si>
    <t>Ert, Eyal; Yechiam, Eldad; Arshavsky, Olga</t>
  </si>
  <si>
    <t>105</t>
  </si>
  <si>
    <t>Schellenberg, Benjamin J. I.; Bailis, Daniel S.</t>
  </si>
  <si>
    <t>107</t>
  </si>
  <si>
    <t>Westheide, Jens; Wagner, Michael; Quednow, Boris B.; Hoppe, Christian; Cooper-Mahkorn, Déirdre; Strater, Birgitta; Maier, Wolfgang; Kuhn, Kai-Uwe</t>
  </si>
  <si>
    <t>110</t>
  </si>
  <si>
    <t>West, Jeffrey T.; Horning, Sheena M.; Klebe, Kelli J.; Foster, Shannon M.; Cornwell, R. Elisabeth; Perrett, David; Burt, D. Michael; Davis, Hasker P.</t>
  </si>
  <si>
    <t>113</t>
  </si>
  <si>
    <t>Franken, Ingmar H. A.; van Strien, Jan W.; Nijs, Ilse; Muris, Peter</t>
  </si>
  <si>
    <t>115</t>
  </si>
  <si>
    <t>Alm, Kylie H.; Rolheiser, Tyler; Mohamed, Feroze B.; Olson, Ingrid R.</t>
  </si>
  <si>
    <t>116</t>
  </si>
  <si>
    <t>Kulkarni, Sandip; Jain, Sanjeev; Reddy, Y. C. Janardhan; Kumar, Keshav J.; Kandavel, Thennarasu</t>
  </si>
  <si>
    <t>117</t>
  </si>
  <si>
    <t>Toplak, Maggie E.; Jain, Umesh; Tannock, Rosemary</t>
  </si>
  <si>
    <t>120</t>
  </si>
  <si>
    <t>Tenconi, Elena; Degortes, Daniela; Clementi, Maurizio; Collantoni, Enrico; Pinato, Claudia; Forzan, Monica; Cassina, Matteo; Santonastaso, Paolo; Favaro, Angela</t>
  </si>
  <si>
    <t>121</t>
  </si>
  <si>
    <t>Gleichgerrcht, Ezequiel; Torralva, Teresa; Roca, María; Szenkman, Daniela; Ibanez, Agustin; Richly, Pablo; Pose, Mariángeles; Manes, Facundo</t>
  </si>
  <si>
    <t>122</t>
  </si>
  <si>
    <t>Hermann, Derik; Leménager, Tagrid; Gelbke, Jan; Welzel, Helga; Skopp, Gisela; Mann, Karl</t>
  </si>
  <si>
    <t>124</t>
  </si>
  <si>
    <t>Navas, Juan F.; Vilar-López, Raquel; Perales, José C.; Steward, Trevor; Fernández-Aranda, Fernando; Verdejo-García, Antonio</t>
  </si>
  <si>
    <t>126</t>
  </si>
  <si>
    <t>Whitney, Kriscinda A.; Fastenau, Philip S.; Evans, Jovier D.; Lysaker, Paul H.</t>
  </si>
  <si>
    <t>127</t>
  </si>
  <si>
    <t>Delazer, Margarete; Högl, Birgit; Zamarian, Laura; Wenter, Johanna; Gschliesser, Viola; Ehrmann, Laura; Brandauer, Elisabeth; Cevikkol, Zehra; Frauscher, Birgit</t>
  </si>
  <si>
    <t>128</t>
  </si>
  <si>
    <t>Gianfranchi, Evelyn; Tagliabue, Mariaelena; Spoto, Andrea; Vidotto, Giulio</t>
  </si>
  <si>
    <t>130</t>
  </si>
  <si>
    <t>Krawitz, Adam; Fukunaga, Rena; Brown, Joshua W.</t>
  </si>
  <si>
    <t>131</t>
  </si>
  <si>
    <t>Levi, Marc D.; Nussbaum, David S.; Rich, Jill B.</t>
  </si>
  <si>
    <t>132</t>
  </si>
  <si>
    <t>Mapelli, Daniela; Di Rosa, Elisa; Cavalletti, Matteo; Schiff, Sami; Tamburin, Stefano</t>
  </si>
  <si>
    <t>133</t>
  </si>
  <si>
    <t>Szasz, Paul Lucian; Hofmann, Stefan G.; Heilman, Renata M.; Curtiss, Joshua</t>
  </si>
  <si>
    <t>134</t>
  </si>
  <si>
    <t>Lakey, Chad E.; Goodie, Adam S.; Campbell, W. Keith</t>
  </si>
  <si>
    <t>135</t>
  </si>
  <si>
    <t>Suhr, Julie; Hammers, Dustin</t>
  </si>
  <si>
    <t>136</t>
  </si>
  <si>
    <t>Christakou, Anastasia; Gershman, Samuel J.; Niv, Yael; Simmons, Andrew; Brammer, Mick; Rubia, Katya</t>
  </si>
  <si>
    <t>137</t>
  </si>
  <si>
    <t>He, Qinghua; Xue, Gui; Chen, Chuansheng; Lu, Zhonglin; Dong, Qi; Lei, Xuemei; Ding, Ni; Li, Jin; Li, He; Chen, Chunhui; Li, Jun; Moyzis, Robert K.; Bechara, Antoine</t>
  </si>
  <si>
    <t>138</t>
  </si>
  <si>
    <t>Labudda, Kirsten; Frigge, Kristina; Horstmann, Simone; Aengenendt, Joerg; Woermann, Friedrich G.; Ebner, Alois; Markowitsch, Hans J.; Brand, Matthias</t>
  </si>
  <si>
    <t>139</t>
  </si>
  <si>
    <t>Le Bas, Genevieve A.; Hughes, Melissa A.; Stout, Julie C.</t>
  </si>
  <si>
    <t>140</t>
  </si>
  <si>
    <t>Goodie, Adam S.; Lakey, Chad E.</t>
  </si>
  <si>
    <t>category</t>
  </si>
  <si>
    <t>sunscreen use</t>
  </si>
  <si>
    <t>reversal learning</t>
  </si>
  <si>
    <t>adhd</t>
  </si>
  <si>
    <t>cocaine dependence, methamphetamine dependence</t>
  </si>
  <si>
    <t>parkinson's disease, pathological gambling</t>
  </si>
  <si>
    <t xml:space="preserve">essential tremor </t>
  </si>
  <si>
    <t>adhd; financial decision making</t>
  </si>
  <si>
    <t>restless legs syndrome</t>
  </si>
  <si>
    <t>cannabis use</t>
  </si>
  <si>
    <t>parkinson's disease + impulse control disorder</t>
  </si>
  <si>
    <t>gender differences</t>
  </si>
  <si>
    <t>schizophrenia</t>
  </si>
  <si>
    <t>influence of conjunction bias training on task performance</t>
  </si>
  <si>
    <t>influence of sensory cues on task performance</t>
  </si>
  <si>
    <t>eating disorder (bulimia nervosa)</t>
  </si>
  <si>
    <t>different eating disorders</t>
  </si>
  <si>
    <t>pathological gambling</t>
  </si>
  <si>
    <t>"The aim of the study was to examine the oscillatory neural dynamics of attentional control during visual target detection in emerging young adults as a function of binge drinking."</t>
  </si>
  <si>
    <t>bipolar disorder + generalized anxiety disorder</t>
  </si>
  <si>
    <t>narcolepsy with cataplexy</t>
  </si>
  <si>
    <t>age differences</t>
  </si>
  <si>
    <t>substance dependence</t>
  </si>
  <si>
    <t>smokers</t>
  </si>
  <si>
    <t>impulsivity</t>
  </si>
  <si>
    <t>traumatic brain injury</t>
  </si>
  <si>
    <t>bipolar disorder (suicide prevention)</t>
  </si>
  <si>
    <t>primary progressive aphasia, behavioral variant frontotemporal dementia</t>
  </si>
  <si>
    <t>gambling</t>
  </si>
  <si>
    <t>obesity</t>
  </si>
  <si>
    <t>influence of sleep deprivation on decision making</t>
  </si>
  <si>
    <t>parkinson's disease</t>
  </si>
  <si>
    <t>siblings of probands with bipolar I disorder</t>
  </si>
  <si>
    <t>patients with temporal lobe epilepsy</t>
  </si>
  <si>
    <t>driving behavior</t>
  </si>
  <si>
    <t>human aggression</t>
  </si>
  <si>
    <t>young adults with a family history of alcoholism</t>
  </si>
  <si>
    <t>patients with damage to different sectors of the prefrontal cortex</t>
  </si>
  <si>
    <t>adhd, adhd + cocaine dependence</t>
  </si>
  <si>
    <t>mdma use</t>
  </si>
  <si>
    <t>autism spectrum disorder</t>
  </si>
  <si>
    <t>probands with multiple alcohol-dependent relatives</t>
  </si>
  <si>
    <t>sarcasm</t>
  </si>
  <si>
    <t>daytime sleepiness</t>
  </si>
  <si>
    <t>juvenile myoclonic epilepsy</t>
  </si>
  <si>
    <t>influence of brands on decision making</t>
  </si>
  <si>
    <t>gambling disorder</t>
  </si>
  <si>
    <t>cocaine dependence + opioid dependence</t>
  </si>
  <si>
    <t>schizophrenia spectrum disorders</t>
  </si>
  <si>
    <t>influence of passion on decision making</t>
  </si>
  <si>
    <t>influence of more relative left compared to right-sided frontal brain activity on decision making</t>
  </si>
  <si>
    <t>multiple sclerosis</t>
  </si>
  <si>
    <t>gambing disorder; treatment (tDCS)</t>
  </si>
  <si>
    <t>effect of emotion regulation strategies on decision making</t>
  </si>
  <si>
    <t>adhd, adhd + cannabis use</t>
  </si>
  <si>
    <t>anorexia nervosa</t>
  </si>
  <si>
    <t>hording disorder, obsessive-compulsive disorder</t>
  </si>
  <si>
    <t>effect of a specific gene on IGT performance</t>
  </si>
  <si>
    <t>borderline personality disorder; treatment (quentiapine)</t>
  </si>
  <si>
    <t>substance use disorder</t>
  </si>
  <si>
    <t>amphetamine dependence, heroin dependence</t>
  </si>
  <si>
    <t>(psychotic vs. non-psychotic) heroin dependence</t>
  </si>
  <si>
    <t>cocaine dependence</t>
  </si>
  <si>
    <t>influence of IQ and emotional intelligence on decision making</t>
  </si>
  <si>
    <t>influence of perception of one's heart activity on decision making</t>
  </si>
  <si>
    <t>age effects on emotion recognition</t>
  </si>
  <si>
    <t>major depressive disorder (partly remitted)</t>
  </si>
  <si>
    <t>schizoprenie (with/without obsessive-compulsive symptoms), obsessive-compulsive disorder</t>
  </si>
  <si>
    <t>long-term abstinent alcohol-dependent patients</t>
  </si>
  <si>
    <t>frequency</t>
  </si>
  <si>
    <t>meaning</t>
  </si>
  <si>
    <t>clinical</t>
  </si>
  <si>
    <t>decision making research</t>
  </si>
  <si>
    <t>other research</t>
  </si>
  <si>
    <t>not sure how to categorize</t>
  </si>
  <si>
    <t>info</t>
  </si>
  <si>
    <t>clinical populations (brain damage), but brain function is the focus of the investigation (not the clinical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</si>
</sst>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49" fontId="0" fillId="0" borderId="2" xfId="0" applyNumberFormat="1" applyBorder="1" applyAlignment="1">
      <alignment horizontal="right"/>
    </xf>
    <xf numFmtId="0" fontId="0" fillId="0" borderId="2" xfId="0" applyBorder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3F42B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5"/>
  <sheetViews>
    <sheetView tabSelected="1" topLeftCell="A27" zoomScale="92" zoomScaleNormal="100" workbookViewId="0">
      <selection activeCell="A51" sqref="A51:XFD51"/>
    </sheetView>
  </sheetViews>
  <sheetFormatPr baseColWidth="10" defaultColWidth="14.42578125" defaultRowHeight="15" customHeight="1" x14ac:dyDescent="0.25"/>
  <cols>
    <col min="1" max="5" width="20.7109375" customWidth="1"/>
    <col min="6" max="7" width="21.7109375" customWidth="1"/>
    <col min="8" max="8" width="35.85546875" customWidth="1"/>
    <col min="9" max="10" width="21.7109375" customWidth="1"/>
    <col min="11" max="11" width="26" customWidth="1"/>
    <col min="12" max="12" width="21.7109375" customWidth="1"/>
    <col min="13" max="13" width="13.28515625" customWidth="1"/>
    <col min="14" max="14" width="14.42578125" customWidth="1"/>
    <col min="15" max="15" width="19.85546875" customWidth="1"/>
    <col min="16" max="16" width="49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1" t="s">
        <v>221</v>
      </c>
      <c r="E1" s="1" t="s">
        <v>296</v>
      </c>
      <c r="F1" s="2"/>
      <c r="G1" s="2"/>
      <c r="H1" s="3"/>
      <c r="I1" s="2"/>
      <c r="J1" s="2"/>
      <c r="K1" s="2"/>
      <c r="L1" s="2"/>
      <c r="M1" s="2"/>
      <c r="N1" s="3"/>
      <c r="O1" s="3"/>
      <c r="P1" s="3"/>
    </row>
    <row r="2" spans="1:16" x14ac:dyDescent="0.25">
      <c r="A2" s="7" t="s">
        <v>3</v>
      </c>
      <c r="B2" s="8" t="s">
        <v>4</v>
      </c>
      <c r="C2" s="8" t="s">
        <v>5</v>
      </c>
      <c r="D2">
        <v>4</v>
      </c>
      <c r="E2" t="s">
        <v>246</v>
      </c>
      <c r="F2" s="4"/>
      <c r="G2" s="4"/>
      <c r="H2" s="5"/>
      <c r="I2" s="4"/>
      <c r="J2" s="4"/>
      <c r="K2" s="4"/>
      <c r="L2" s="4"/>
      <c r="M2" s="4"/>
      <c r="N2" s="5"/>
      <c r="O2" s="5"/>
      <c r="P2" s="5"/>
    </row>
    <row r="3" spans="1:16" x14ac:dyDescent="0.25">
      <c r="A3" s="7" t="s">
        <v>6</v>
      </c>
      <c r="B3" s="8" t="s">
        <v>7</v>
      </c>
      <c r="C3" s="8" t="s">
        <v>8</v>
      </c>
      <c r="D3">
        <v>1</v>
      </c>
      <c r="E3" t="s">
        <v>269</v>
      </c>
      <c r="F3" s="4"/>
      <c r="G3" s="4"/>
      <c r="H3" s="5"/>
      <c r="I3" s="4"/>
      <c r="J3" s="4"/>
      <c r="K3" s="4"/>
      <c r="L3" s="4"/>
      <c r="M3" s="4"/>
      <c r="N3" s="5"/>
      <c r="O3" s="5"/>
      <c r="P3" s="5"/>
    </row>
    <row r="4" spans="1:16" x14ac:dyDescent="0.25">
      <c r="A4" s="7" t="s">
        <v>9</v>
      </c>
      <c r="B4" s="8" t="s">
        <v>10</v>
      </c>
      <c r="C4" s="8" t="s">
        <v>11</v>
      </c>
      <c r="D4">
        <v>1</v>
      </c>
      <c r="E4" t="s">
        <v>275</v>
      </c>
      <c r="F4" s="4"/>
      <c r="G4" s="4"/>
      <c r="H4" s="5"/>
      <c r="I4" s="4"/>
      <c r="J4" s="4"/>
      <c r="K4" s="4"/>
      <c r="L4" s="4"/>
      <c r="M4" s="4"/>
      <c r="N4" s="5"/>
      <c r="O4" s="5"/>
      <c r="P4" s="5"/>
    </row>
    <row r="5" spans="1:16" x14ac:dyDescent="0.25">
      <c r="A5" s="7" t="s">
        <v>12</v>
      </c>
      <c r="B5" s="8" t="s">
        <v>13</v>
      </c>
      <c r="C5" s="8" t="s">
        <v>14</v>
      </c>
      <c r="D5">
        <v>1</v>
      </c>
      <c r="E5" t="s">
        <v>233</v>
      </c>
      <c r="F5" s="4"/>
      <c r="G5" s="4"/>
      <c r="H5" s="5"/>
      <c r="I5" s="4"/>
      <c r="J5" s="4"/>
      <c r="K5" s="4"/>
      <c r="L5" s="4"/>
      <c r="M5" s="4"/>
      <c r="N5" s="5"/>
      <c r="O5" s="5"/>
      <c r="P5" s="5"/>
    </row>
    <row r="6" spans="1:16" x14ac:dyDescent="0.25">
      <c r="A6" s="7" t="s">
        <v>15</v>
      </c>
      <c r="B6" s="8" t="s">
        <v>16</v>
      </c>
      <c r="C6" s="8" t="s">
        <v>17</v>
      </c>
      <c r="D6">
        <v>1</v>
      </c>
      <c r="E6" t="s">
        <v>226</v>
      </c>
      <c r="F6" s="4"/>
      <c r="G6" s="4"/>
      <c r="H6" s="5"/>
      <c r="I6" s="4"/>
      <c r="J6" s="4"/>
      <c r="K6" s="4"/>
      <c r="L6" s="4"/>
      <c r="M6" s="4"/>
      <c r="N6" s="5"/>
      <c r="O6" s="5"/>
      <c r="P6" s="5"/>
    </row>
    <row r="7" spans="1:16" x14ac:dyDescent="0.25">
      <c r="A7" s="7" t="s">
        <v>18</v>
      </c>
      <c r="B7" s="8" t="s">
        <v>19</v>
      </c>
      <c r="C7" s="8" t="s">
        <v>20</v>
      </c>
      <c r="D7">
        <v>2</v>
      </c>
      <c r="E7" t="s">
        <v>271</v>
      </c>
      <c r="F7" s="4"/>
      <c r="G7" s="4"/>
      <c r="H7" s="5"/>
      <c r="I7" s="4"/>
      <c r="J7" s="4"/>
      <c r="K7" s="4"/>
      <c r="L7" s="4"/>
      <c r="M7" s="4"/>
      <c r="N7" s="5"/>
      <c r="O7" s="5"/>
      <c r="P7" s="5"/>
    </row>
    <row r="8" spans="1:16" x14ac:dyDescent="0.25">
      <c r="A8" s="7" t="s">
        <v>21</v>
      </c>
      <c r="B8" s="8" t="s">
        <v>22</v>
      </c>
      <c r="C8" s="8" t="s">
        <v>11</v>
      </c>
      <c r="D8">
        <v>1</v>
      </c>
      <c r="E8" t="s">
        <v>283</v>
      </c>
      <c r="F8" s="4"/>
      <c r="G8" s="4"/>
      <c r="H8" s="5"/>
      <c r="I8" s="4"/>
      <c r="J8" s="4"/>
      <c r="K8" s="4"/>
      <c r="L8" s="4"/>
      <c r="M8" s="4"/>
      <c r="N8" s="5"/>
      <c r="O8" s="5"/>
      <c r="P8" s="5"/>
    </row>
    <row r="9" spans="1:16" x14ac:dyDescent="0.25">
      <c r="A9" s="7" t="s">
        <v>23</v>
      </c>
      <c r="B9" s="8" t="s">
        <v>24</v>
      </c>
      <c r="C9" s="8" t="s">
        <v>25</v>
      </c>
      <c r="D9">
        <v>2</v>
      </c>
      <c r="F9" s="4"/>
      <c r="G9" s="4"/>
      <c r="H9" s="5"/>
      <c r="I9" s="4"/>
      <c r="J9" s="4"/>
      <c r="K9" s="4"/>
      <c r="L9" s="4"/>
      <c r="M9" s="4"/>
      <c r="N9" s="5"/>
      <c r="O9" s="5"/>
      <c r="P9" s="5"/>
    </row>
    <row r="10" spans="1:16" x14ac:dyDescent="0.25">
      <c r="A10" s="7" t="s">
        <v>26</v>
      </c>
      <c r="B10" s="8" t="s">
        <v>27</v>
      </c>
      <c r="C10" s="8" t="s">
        <v>28</v>
      </c>
      <c r="D10">
        <v>2</v>
      </c>
      <c r="F10" s="4"/>
      <c r="G10" s="4"/>
      <c r="H10" s="5"/>
      <c r="I10" s="4"/>
      <c r="J10" s="4"/>
      <c r="K10" s="4"/>
      <c r="L10" s="4"/>
      <c r="M10" s="4"/>
      <c r="N10" s="5"/>
      <c r="O10" s="5"/>
      <c r="P10" s="5"/>
    </row>
    <row r="11" spans="1:16" x14ac:dyDescent="0.25">
      <c r="A11" s="7" t="s">
        <v>29</v>
      </c>
      <c r="B11" s="8" t="s">
        <v>30</v>
      </c>
      <c r="C11" s="8" t="s">
        <v>28</v>
      </c>
      <c r="D11">
        <v>1</v>
      </c>
      <c r="E11" t="s">
        <v>259</v>
      </c>
      <c r="F11" s="4"/>
      <c r="G11" s="4"/>
      <c r="H11" s="5"/>
      <c r="I11" s="4"/>
      <c r="J11" s="4"/>
      <c r="K11" s="4"/>
      <c r="L11" s="4"/>
      <c r="M11" s="4"/>
      <c r="N11" s="5"/>
      <c r="O11" s="5"/>
      <c r="P11" s="5"/>
    </row>
    <row r="12" spans="1:16" x14ac:dyDescent="0.25">
      <c r="A12" s="7" t="s">
        <v>31</v>
      </c>
      <c r="B12" s="8" t="s">
        <v>32</v>
      </c>
      <c r="C12" s="8" t="s">
        <v>14</v>
      </c>
      <c r="D12">
        <v>1</v>
      </c>
      <c r="E12" t="s">
        <v>281</v>
      </c>
      <c r="F12" s="4"/>
      <c r="G12" s="4"/>
      <c r="H12" s="5"/>
      <c r="I12" s="4"/>
      <c r="J12" s="4"/>
      <c r="K12" s="4"/>
      <c r="L12" s="4"/>
      <c r="M12" s="4"/>
      <c r="N12" s="5"/>
      <c r="O12" s="5"/>
      <c r="P12" s="5"/>
    </row>
    <row r="13" spans="1:16" ht="15.75" customHeight="1" x14ac:dyDescent="0.25">
      <c r="A13" s="7" t="s">
        <v>33</v>
      </c>
      <c r="B13" s="8" t="s">
        <v>34</v>
      </c>
      <c r="C13" s="8" t="s">
        <v>17</v>
      </c>
      <c r="D13">
        <v>2</v>
      </c>
      <c r="F13" s="4"/>
      <c r="G13" s="4"/>
      <c r="H13" s="5"/>
      <c r="I13" s="4"/>
      <c r="J13" s="4"/>
      <c r="K13" s="4"/>
      <c r="L13" s="4"/>
      <c r="M13" s="4"/>
      <c r="N13" s="5"/>
      <c r="O13" s="5"/>
      <c r="P13" s="5"/>
    </row>
    <row r="14" spans="1:16" ht="15.75" customHeight="1" x14ac:dyDescent="0.25">
      <c r="A14" s="7" t="s">
        <v>35</v>
      </c>
      <c r="B14" s="8" t="s">
        <v>36</v>
      </c>
      <c r="C14" s="8" t="s">
        <v>37</v>
      </c>
      <c r="D14">
        <v>2</v>
      </c>
      <c r="E14" t="s">
        <v>278</v>
      </c>
      <c r="F14" s="4"/>
      <c r="G14" s="4"/>
      <c r="H14" s="5"/>
      <c r="I14" s="4"/>
      <c r="J14" s="4"/>
      <c r="K14" s="4"/>
      <c r="L14" s="4"/>
      <c r="M14" s="4"/>
      <c r="N14" s="5"/>
      <c r="O14" s="5"/>
      <c r="P14" s="5"/>
    </row>
    <row r="15" spans="1:16" ht="15.75" customHeight="1" x14ac:dyDescent="0.25">
      <c r="A15" s="7" t="s">
        <v>38</v>
      </c>
      <c r="B15" s="8" t="s">
        <v>39</v>
      </c>
      <c r="C15" s="8" t="s">
        <v>40</v>
      </c>
      <c r="D15">
        <v>1</v>
      </c>
      <c r="E15" t="s">
        <v>261</v>
      </c>
      <c r="F15" s="4"/>
      <c r="G15" s="4"/>
      <c r="H15" s="5"/>
      <c r="I15" s="4"/>
      <c r="J15" s="4"/>
      <c r="K15" s="4"/>
      <c r="L15" s="4"/>
      <c r="M15" s="4"/>
      <c r="N15" s="5"/>
      <c r="O15" s="5"/>
      <c r="P15" s="5"/>
    </row>
    <row r="16" spans="1:16" ht="15.75" customHeight="1" x14ac:dyDescent="0.25">
      <c r="A16" s="7" t="s">
        <v>41</v>
      </c>
      <c r="B16" s="8" t="s">
        <v>42</v>
      </c>
      <c r="C16" s="8" t="s">
        <v>43</v>
      </c>
      <c r="D16">
        <v>4</v>
      </c>
      <c r="E16" t="s">
        <v>258</v>
      </c>
      <c r="F16" s="4"/>
      <c r="G16" s="4"/>
      <c r="H16" s="5"/>
      <c r="I16" s="4"/>
      <c r="J16" s="4"/>
      <c r="K16" s="4"/>
      <c r="L16" s="4"/>
      <c r="M16" s="4"/>
      <c r="N16" s="5"/>
      <c r="O16" s="5"/>
      <c r="P16" s="5"/>
    </row>
    <row r="17" spans="1:16" ht="15.75" customHeight="1" x14ac:dyDescent="0.25">
      <c r="A17" s="7" t="s">
        <v>44</v>
      </c>
      <c r="B17" s="8" t="s">
        <v>45</v>
      </c>
      <c r="C17" s="8" t="s">
        <v>46</v>
      </c>
      <c r="D17">
        <v>4</v>
      </c>
      <c r="E17" t="s">
        <v>258</v>
      </c>
      <c r="F17" s="4"/>
      <c r="G17" s="4"/>
      <c r="H17" s="5"/>
      <c r="I17" s="4"/>
      <c r="J17" s="4"/>
      <c r="K17" s="4"/>
      <c r="L17" s="4"/>
      <c r="M17" s="4"/>
      <c r="N17" s="5"/>
      <c r="O17" s="5"/>
      <c r="P17" s="5"/>
    </row>
    <row r="18" spans="1:16" ht="15.75" customHeight="1" x14ac:dyDescent="0.25">
      <c r="A18" s="7" t="s">
        <v>47</v>
      </c>
      <c r="B18" s="8" t="s">
        <v>48</v>
      </c>
      <c r="C18" s="8" t="s">
        <v>5</v>
      </c>
      <c r="D18">
        <v>2</v>
      </c>
      <c r="E18" t="s">
        <v>234</v>
      </c>
      <c r="F18" s="4"/>
      <c r="G18" s="4"/>
      <c r="H18" s="5"/>
      <c r="I18" s="4"/>
      <c r="J18" s="4"/>
      <c r="K18" s="4"/>
      <c r="L18" s="4"/>
      <c r="M18" s="4"/>
      <c r="N18" s="5"/>
      <c r="O18" s="5"/>
      <c r="P18" s="5"/>
    </row>
    <row r="19" spans="1:16" ht="15.75" customHeight="1" x14ac:dyDescent="0.25">
      <c r="A19" s="7" t="s">
        <v>49</v>
      </c>
      <c r="B19" s="8" t="s">
        <v>50</v>
      </c>
      <c r="C19" s="8" t="s">
        <v>51</v>
      </c>
      <c r="D19">
        <v>1</v>
      </c>
      <c r="E19" t="s">
        <v>283</v>
      </c>
      <c r="F19" s="4"/>
      <c r="G19" s="4"/>
      <c r="H19" s="5"/>
      <c r="I19" s="4"/>
      <c r="J19" s="4"/>
      <c r="K19" s="4"/>
      <c r="L19" s="4"/>
      <c r="M19" s="4"/>
      <c r="N19" s="5"/>
      <c r="O19" s="5"/>
      <c r="P19" s="5"/>
    </row>
    <row r="20" spans="1:16" ht="15.75" customHeight="1" x14ac:dyDescent="0.25">
      <c r="A20" s="7" t="s">
        <v>52</v>
      </c>
      <c r="B20" s="8" t="s">
        <v>53</v>
      </c>
      <c r="C20" s="8" t="s">
        <v>54</v>
      </c>
      <c r="D20">
        <v>4</v>
      </c>
      <c r="E20" t="s">
        <v>246</v>
      </c>
      <c r="F20" s="4"/>
      <c r="G20" s="4"/>
      <c r="H20" s="5"/>
      <c r="I20" s="4"/>
      <c r="J20" s="4"/>
      <c r="K20" s="4"/>
      <c r="L20" s="4"/>
      <c r="M20" s="4"/>
      <c r="N20" s="5"/>
      <c r="O20" s="5"/>
      <c r="P20" s="5"/>
    </row>
    <row r="21" spans="1:16" ht="15.75" customHeight="1" x14ac:dyDescent="0.25">
      <c r="A21" s="7" t="s">
        <v>55</v>
      </c>
      <c r="B21" s="8" t="s">
        <v>56</v>
      </c>
      <c r="C21" s="8" t="s">
        <v>57</v>
      </c>
      <c r="D21">
        <v>1</v>
      </c>
      <c r="E21" t="s">
        <v>282</v>
      </c>
      <c r="F21" s="4"/>
      <c r="G21" s="4"/>
      <c r="H21" s="5"/>
      <c r="I21" s="4"/>
      <c r="J21" s="4"/>
      <c r="K21" s="4"/>
      <c r="L21" s="4"/>
      <c r="M21" s="4"/>
      <c r="N21" s="5"/>
      <c r="O21" s="5"/>
      <c r="P21" s="5"/>
    </row>
    <row r="22" spans="1:16" ht="15.75" customHeight="1" x14ac:dyDescent="0.25">
      <c r="A22" s="7" t="s">
        <v>58</v>
      </c>
      <c r="B22" s="8" t="s">
        <v>59</v>
      </c>
      <c r="C22" s="8" t="s">
        <v>37</v>
      </c>
      <c r="D22">
        <v>1</v>
      </c>
      <c r="E22" t="s">
        <v>272</v>
      </c>
      <c r="F22" s="4"/>
      <c r="G22" s="4"/>
      <c r="H22" s="5"/>
      <c r="I22" s="4"/>
      <c r="J22" s="4"/>
      <c r="K22" s="4"/>
      <c r="L22" s="4"/>
      <c r="M22" s="4"/>
      <c r="N22" s="5"/>
      <c r="O22" s="5"/>
      <c r="P22" s="5"/>
    </row>
    <row r="23" spans="1:16" ht="15.75" customHeight="1" x14ac:dyDescent="0.25">
      <c r="A23" s="7" t="s">
        <v>60</v>
      </c>
      <c r="B23" s="8" t="s">
        <v>61</v>
      </c>
      <c r="C23" s="8" t="s">
        <v>25</v>
      </c>
      <c r="D23">
        <v>2</v>
      </c>
      <c r="F23" s="4"/>
      <c r="G23" s="4"/>
      <c r="H23" s="5"/>
      <c r="I23" s="4"/>
      <c r="J23" s="4"/>
      <c r="K23" s="4"/>
      <c r="L23" s="4"/>
      <c r="M23" s="4"/>
      <c r="N23" s="5"/>
      <c r="O23" s="5"/>
      <c r="P23" s="5"/>
    </row>
    <row r="24" spans="1:16" ht="15.75" customHeight="1" x14ac:dyDescent="0.25">
      <c r="A24" s="7" t="s">
        <v>62</v>
      </c>
      <c r="B24" s="8" t="s">
        <v>63</v>
      </c>
      <c r="C24" s="8" t="s">
        <v>43</v>
      </c>
      <c r="D24">
        <v>5</v>
      </c>
      <c r="E24" t="s">
        <v>239</v>
      </c>
      <c r="F24" s="4"/>
      <c r="G24" s="4"/>
      <c r="H24" s="5"/>
      <c r="I24" s="4"/>
      <c r="J24" s="4"/>
      <c r="K24" s="4"/>
      <c r="L24" s="4"/>
      <c r="M24" s="4"/>
      <c r="N24" s="5"/>
      <c r="O24" s="5"/>
      <c r="P24" s="5"/>
    </row>
    <row r="25" spans="1:16" ht="15.75" customHeight="1" x14ac:dyDescent="0.25">
      <c r="A25" s="7" t="s">
        <v>64</v>
      </c>
      <c r="B25" s="8" t="s">
        <v>65</v>
      </c>
      <c r="C25" s="8" t="s">
        <v>25</v>
      </c>
      <c r="D25">
        <v>1</v>
      </c>
      <c r="E25" t="s">
        <v>280</v>
      </c>
      <c r="F25" s="4"/>
      <c r="G25" s="4"/>
      <c r="H25" s="5"/>
      <c r="I25" s="4"/>
      <c r="J25" s="4"/>
      <c r="K25" s="4"/>
      <c r="L25" s="4"/>
      <c r="M25" s="4"/>
      <c r="N25" s="5"/>
      <c r="O25" s="5"/>
      <c r="P25" s="5"/>
    </row>
    <row r="26" spans="1:16" ht="15.75" customHeight="1" x14ac:dyDescent="0.25">
      <c r="A26" s="7" t="s">
        <v>66</v>
      </c>
      <c r="B26" s="8" t="s">
        <v>67</v>
      </c>
      <c r="C26" s="8" t="s">
        <v>68</v>
      </c>
      <c r="D26">
        <v>1</v>
      </c>
      <c r="E26" t="s">
        <v>257</v>
      </c>
      <c r="F26" s="4"/>
      <c r="G26" s="4"/>
      <c r="H26" s="5"/>
      <c r="I26" s="4"/>
      <c r="J26" s="4"/>
      <c r="K26" s="4"/>
      <c r="L26" s="4"/>
      <c r="M26" s="4"/>
      <c r="N26" s="5"/>
      <c r="O26" s="5"/>
      <c r="P26" s="5"/>
    </row>
    <row r="27" spans="1:16" ht="15.75" customHeight="1" x14ac:dyDescent="0.25">
      <c r="A27" s="7" t="s">
        <v>69</v>
      </c>
      <c r="B27" s="8" t="s">
        <v>70</v>
      </c>
      <c r="C27" s="8" t="s">
        <v>28</v>
      </c>
      <c r="D27">
        <v>3</v>
      </c>
      <c r="E27" t="s">
        <v>263</v>
      </c>
      <c r="F27" s="4"/>
      <c r="G27" s="4"/>
      <c r="H27" s="5"/>
      <c r="I27" s="4"/>
      <c r="J27" s="4"/>
      <c r="K27" s="4"/>
      <c r="L27" s="4"/>
      <c r="M27" s="4"/>
      <c r="N27" s="5"/>
      <c r="O27" s="5"/>
      <c r="P27" s="5"/>
    </row>
    <row r="28" spans="1:16" ht="15.75" customHeight="1" x14ac:dyDescent="0.25">
      <c r="A28" s="7" t="s">
        <v>71</v>
      </c>
      <c r="B28" s="8" t="s">
        <v>72</v>
      </c>
      <c r="C28" s="8" t="s">
        <v>68</v>
      </c>
      <c r="D28">
        <v>1</v>
      </c>
      <c r="E28" t="s">
        <v>236</v>
      </c>
      <c r="F28" s="4"/>
      <c r="G28" s="4"/>
      <c r="H28" s="5"/>
      <c r="I28" s="4"/>
      <c r="J28" s="4"/>
      <c r="K28" s="4"/>
      <c r="L28" s="4"/>
      <c r="M28" s="4"/>
      <c r="N28" s="5"/>
      <c r="O28" s="5"/>
      <c r="P28" s="5"/>
    </row>
    <row r="29" spans="1:16" ht="15.75" customHeight="1" x14ac:dyDescent="0.25">
      <c r="A29" s="7" t="s">
        <v>73</v>
      </c>
      <c r="B29" s="8" t="s">
        <v>74</v>
      </c>
      <c r="C29" s="8" t="s">
        <v>14</v>
      </c>
      <c r="D29">
        <v>2</v>
      </c>
      <c r="E29" t="s">
        <v>284</v>
      </c>
      <c r="F29" s="4"/>
      <c r="G29" s="4"/>
      <c r="H29" s="5"/>
      <c r="I29" s="4"/>
      <c r="J29" s="4"/>
      <c r="K29" s="4"/>
      <c r="L29" s="4"/>
      <c r="M29" s="4"/>
      <c r="N29" s="5"/>
      <c r="O29" s="5"/>
      <c r="P29" s="5"/>
    </row>
    <row r="30" spans="1:16" ht="15.75" customHeight="1" x14ac:dyDescent="0.25">
      <c r="A30" s="7" t="s">
        <v>75</v>
      </c>
      <c r="B30" s="8" t="s">
        <v>76</v>
      </c>
      <c r="C30" s="8" t="s">
        <v>40</v>
      </c>
      <c r="D30">
        <v>1</v>
      </c>
      <c r="E30" t="s">
        <v>233</v>
      </c>
      <c r="F30" s="4"/>
      <c r="G30" s="4"/>
      <c r="H30" s="5"/>
      <c r="I30" s="4"/>
      <c r="J30" s="4"/>
      <c r="K30" s="4"/>
      <c r="L30" s="4"/>
      <c r="M30" s="4"/>
      <c r="N30" s="5"/>
      <c r="O30" s="5"/>
      <c r="P30" s="5"/>
    </row>
    <row r="31" spans="1:16" ht="15.75" customHeight="1" x14ac:dyDescent="0.25">
      <c r="A31" s="7" t="s">
        <v>77</v>
      </c>
      <c r="B31" s="8" t="s">
        <v>78</v>
      </c>
      <c r="C31" s="8" t="s">
        <v>28</v>
      </c>
      <c r="D31">
        <v>3</v>
      </c>
      <c r="E31" t="s">
        <v>264</v>
      </c>
      <c r="F31" s="4"/>
      <c r="G31" s="4"/>
      <c r="H31" s="5"/>
      <c r="I31" s="4"/>
      <c r="J31" s="4"/>
      <c r="K31" s="4"/>
      <c r="L31" s="4"/>
      <c r="M31" s="4"/>
      <c r="N31" s="5"/>
      <c r="O31" s="5"/>
      <c r="P31" s="5"/>
    </row>
    <row r="32" spans="1:16" ht="15.75" customHeight="1" x14ac:dyDescent="0.25">
      <c r="A32" s="7" t="s">
        <v>79</v>
      </c>
      <c r="B32" s="8" t="s">
        <v>80</v>
      </c>
      <c r="C32" s="8" t="s">
        <v>14</v>
      </c>
      <c r="D32">
        <v>2</v>
      </c>
      <c r="E32" t="s">
        <v>242</v>
      </c>
      <c r="F32" s="4"/>
      <c r="G32" s="4"/>
      <c r="H32" s="5"/>
      <c r="I32" s="4"/>
      <c r="J32" s="4"/>
      <c r="K32" s="4"/>
      <c r="L32" s="4"/>
      <c r="M32" s="4"/>
      <c r="N32" s="5"/>
      <c r="O32" s="5"/>
      <c r="P32" s="5"/>
    </row>
    <row r="33" spans="1:16" ht="15.75" customHeight="1" x14ac:dyDescent="0.25">
      <c r="A33" s="7" t="s">
        <v>81</v>
      </c>
      <c r="B33" s="8" t="s">
        <v>82</v>
      </c>
      <c r="C33" s="8" t="s">
        <v>83</v>
      </c>
      <c r="D33">
        <v>1</v>
      </c>
      <c r="E33" t="s">
        <v>250</v>
      </c>
      <c r="F33" s="4"/>
      <c r="G33" s="4"/>
      <c r="H33" s="5"/>
      <c r="I33" s="4"/>
      <c r="J33" s="4"/>
      <c r="K33" s="4"/>
      <c r="L33" s="4"/>
      <c r="M33" s="4"/>
      <c r="N33" s="5"/>
      <c r="O33" s="5"/>
      <c r="P33" s="5"/>
    </row>
    <row r="34" spans="1:16" ht="15.75" customHeight="1" x14ac:dyDescent="0.25">
      <c r="A34" s="7" t="s">
        <v>84</v>
      </c>
      <c r="B34" s="8" t="s">
        <v>85</v>
      </c>
      <c r="C34" s="8" t="s">
        <v>86</v>
      </c>
      <c r="D34">
        <v>1</v>
      </c>
      <c r="E34" t="s">
        <v>240</v>
      </c>
      <c r="F34" s="4"/>
      <c r="G34" s="4"/>
      <c r="H34" s="5"/>
      <c r="I34" s="4"/>
      <c r="J34" s="4"/>
      <c r="K34" s="4"/>
      <c r="L34" s="4"/>
      <c r="M34" s="4"/>
      <c r="N34" s="5"/>
      <c r="O34" s="5"/>
      <c r="P34" s="5"/>
    </row>
    <row r="35" spans="1:16" ht="15.75" customHeight="1" x14ac:dyDescent="0.25">
      <c r="A35" s="7" t="s">
        <v>87</v>
      </c>
      <c r="B35" s="8" t="s">
        <v>88</v>
      </c>
      <c r="C35" s="8" t="s">
        <v>54</v>
      </c>
      <c r="D35">
        <v>1</v>
      </c>
      <c r="E35" t="s">
        <v>243</v>
      </c>
      <c r="F35" s="4"/>
      <c r="G35" s="4"/>
      <c r="H35" s="5"/>
      <c r="I35" s="4"/>
      <c r="J35" s="4"/>
      <c r="K35" s="4"/>
      <c r="L35" s="4"/>
      <c r="M35" s="4"/>
      <c r="N35" s="5"/>
      <c r="O35" s="5"/>
      <c r="P35" s="5"/>
    </row>
    <row r="36" spans="1:16" ht="15.75" customHeight="1" x14ac:dyDescent="0.25">
      <c r="A36" s="7" t="s">
        <v>89</v>
      </c>
      <c r="B36" s="8" t="s">
        <v>90</v>
      </c>
      <c r="C36" s="8" t="s">
        <v>43</v>
      </c>
      <c r="D36">
        <v>1</v>
      </c>
      <c r="E36" t="s">
        <v>231</v>
      </c>
      <c r="F36" s="4"/>
      <c r="G36" s="4"/>
      <c r="H36" s="5"/>
      <c r="I36" s="4"/>
      <c r="J36" s="4"/>
      <c r="K36" s="4"/>
      <c r="L36" s="4"/>
      <c r="M36" s="4"/>
      <c r="N36" s="5"/>
      <c r="O36" s="5"/>
      <c r="P36" s="5"/>
    </row>
    <row r="37" spans="1:16" ht="15.75" customHeight="1" x14ac:dyDescent="0.25">
      <c r="A37" s="7" t="s">
        <v>91</v>
      </c>
      <c r="B37" s="8" t="s">
        <v>92</v>
      </c>
      <c r="C37" s="8" t="s">
        <v>11</v>
      </c>
      <c r="D37">
        <v>1</v>
      </c>
      <c r="E37" t="s">
        <v>238</v>
      </c>
      <c r="F37" s="4"/>
      <c r="G37" s="4"/>
      <c r="H37" s="5"/>
      <c r="I37" s="4"/>
      <c r="J37" s="4"/>
      <c r="K37" s="4"/>
      <c r="L37" s="4"/>
      <c r="M37" s="4"/>
      <c r="N37" s="5"/>
      <c r="O37" s="5"/>
      <c r="P37" s="5"/>
    </row>
    <row r="38" spans="1:16" ht="15.75" customHeight="1" x14ac:dyDescent="0.25">
      <c r="A38" s="7" t="s">
        <v>93</v>
      </c>
      <c r="B38" s="8" t="s">
        <v>94</v>
      </c>
      <c r="C38" s="8" t="s">
        <v>43</v>
      </c>
      <c r="D38">
        <v>1</v>
      </c>
      <c r="E38" t="s">
        <v>267</v>
      </c>
      <c r="F38" s="4"/>
      <c r="G38" s="4"/>
      <c r="H38" s="5"/>
      <c r="I38" s="4"/>
      <c r="J38" s="4"/>
      <c r="K38" s="4"/>
      <c r="L38" s="4"/>
      <c r="M38" s="4"/>
      <c r="N38" s="5"/>
      <c r="O38" s="5"/>
      <c r="P38" s="5"/>
    </row>
    <row r="39" spans="1:16" ht="15.75" customHeight="1" x14ac:dyDescent="0.25">
      <c r="A39" s="7" t="s">
        <v>95</v>
      </c>
      <c r="B39" s="8" t="s">
        <v>96</v>
      </c>
      <c r="C39" s="8" t="s">
        <v>40</v>
      </c>
      <c r="D39">
        <v>2</v>
      </c>
      <c r="E39" t="s">
        <v>242</v>
      </c>
      <c r="F39" s="4"/>
      <c r="G39" s="4"/>
      <c r="H39" s="5"/>
      <c r="I39" s="4"/>
      <c r="J39" s="4"/>
      <c r="K39" s="4"/>
      <c r="L39" s="4"/>
      <c r="M39" s="4"/>
      <c r="N39" s="5"/>
      <c r="O39" s="5"/>
      <c r="P39" s="5"/>
    </row>
    <row r="40" spans="1:16" ht="15.75" customHeight="1" x14ac:dyDescent="0.25">
      <c r="A40" s="7" t="s">
        <v>97</v>
      </c>
      <c r="B40" s="8" t="s">
        <v>98</v>
      </c>
      <c r="C40" s="8" t="s">
        <v>14</v>
      </c>
      <c r="D40">
        <v>2</v>
      </c>
      <c r="F40" s="4"/>
      <c r="G40" s="4"/>
      <c r="H40" s="5"/>
      <c r="I40" s="4"/>
      <c r="J40" s="4"/>
      <c r="K40" s="4"/>
      <c r="L40" s="4"/>
      <c r="M40" s="4"/>
      <c r="N40" s="5"/>
      <c r="O40" s="5"/>
      <c r="P40" s="5"/>
    </row>
    <row r="41" spans="1:16" ht="15.75" customHeight="1" x14ac:dyDescent="0.25">
      <c r="A41" s="7" t="s">
        <v>99</v>
      </c>
      <c r="B41" s="8" t="s">
        <v>100</v>
      </c>
      <c r="C41" s="8" t="s">
        <v>86</v>
      </c>
      <c r="D41">
        <v>2</v>
      </c>
      <c r="E41" t="s">
        <v>266</v>
      </c>
      <c r="F41" s="4"/>
      <c r="G41" s="4"/>
      <c r="H41" s="5"/>
      <c r="I41" s="4"/>
      <c r="J41" s="4"/>
      <c r="K41" s="4"/>
      <c r="L41" s="4"/>
      <c r="M41" s="4"/>
      <c r="N41" s="5"/>
      <c r="O41" s="5"/>
      <c r="P41" s="5"/>
    </row>
    <row r="42" spans="1:16" ht="15.75" customHeight="1" x14ac:dyDescent="0.25">
      <c r="A42" s="7" t="s">
        <v>101</v>
      </c>
      <c r="B42" s="8" t="s">
        <v>102</v>
      </c>
      <c r="C42" s="8" t="s">
        <v>40</v>
      </c>
      <c r="D42">
        <v>2</v>
      </c>
      <c r="E42" t="s">
        <v>242</v>
      </c>
      <c r="F42" s="4"/>
      <c r="G42" s="4"/>
      <c r="H42" s="5"/>
      <c r="I42" s="4"/>
      <c r="J42" s="4"/>
      <c r="K42" s="4"/>
      <c r="L42" s="4"/>
      <c r="M42" s="4"/>
      <c r="N42" s="5"/>
      <c r="O42" s="5"/>
      <c r="P42" s="5"/>
    </row>
    <row r="43" spans="1:16" ht="15.75" customHeight="1" x14ac:dyDescent="0.25">
      <c r="A43" s="7" t="s">
        <v>103</v>
      </c>
      <c r="B43" s="8" t="s">
        <v>104</v>
      </c>
      <c r="C43" s="8" t="s">
        <v>11</v>
      </c>
      <c r="D43">
        <v>3</v>
      </c>
      <c r="E43" t="s">
        <v>222</v>
      </c>
      <c r="F43" s="4"/>
      <c r="G43" s="4"/>
      <c r="H43" s="5"/>
      <c r="I43" s="4"/>
      <c r="J43" s="4"/>
      <c r="K43" s="4"/>
      <c r="L43" s="4"/>
      <c r="M43" s="4"/>
      <c r="N43" s="5"/>
      <c r="O43" s="5"/>
      <c r="P43" s="5"/>
    </row>
    <row r="44" spans="1:16" ht="15.75" customHeight="1" x14ac:dyDescent="0.25">
      <c r="A44" s="7" t="s">
        <v>105</v>
      </c>
      <c r="B44" s="8" t="s">
        <v>106</v>
      </c>
      <c r="C44" s="8" t="s">
        <v>25</v>
      </c>
      <c r="D44">
        <v>1</v>
      </c>
      <c r="E44" t="s">
        <v>247</v>
      </c>
      <c r="F44" s="4"/>
      <c r="G44" s="4"/>
      <c r="H44" s="5"/>
      <c r="I44" s="4"/>
      <c r="J44" s="4"/>
      <c r="K44" s="4"/>
      <c r="L44" s="4"/>
      <c r="M44" s="4"/>
      <c r="N44" s="5"/>
      <c r="O44" s="5"/>
      <c r="P44" s="5"/>
    </row>
    <row r="45" spans="1:16" ht="15.75" customHeight="1" x14ac:dyDescent="0.25">
      <c r="A45" s="7" t="s">
        <v>107</v>
      </c>
      <c r="B45" s="8" t="s">
        <v>108</v>
      </c>
      <c r="C45" s="8" t="s">
        <v>51</v>
      </c>
      <c r="D45">
        <v>1</v>
      </c>
      <c r="E45" t="s">
        <v>225</v>
      </c>
      <c r="F45" s="4"/>
      <c r="G45" s="4"/>
      <c r="H45" s="5"/>
      <c r="I45" s="4"/>
      <c r="J45" s="4"/>
      <c r="K45" s="4"/>
      <c r="L45" s="4"/>
      <c r="M45" s="4"/>
      <c r="N45" s="5"/>
      <c r="O45" s="5"/>
      <c r="P45" s="5"/>
    </row>
    <row r="46" spans="1:16" ht="15.75" customHeight="1" x14ac:dyDescent="0.25">
      <c r="A46" s="7" t="s">
        <v>109</v>
      </c>
      <c r="B46" s="8" t="s">
        <v>110</v>
      </c>
      <c r="C46" s="8" t="s">
        <v>11</v>
      </c>
      <c r="D46">
        <v>1</v>
      </c>
      <c r="E46" t="s">
        <v>229</v>
      </c>
      <c r="F46" s="4"/>
      <c r="G46" s="4"/>
      <c r="H46" s="5"/>
      <c r="I46" s="4"/>
      <c r="J46" s="4"/>
      <c r="K46" s="4"/>
      <c r="L46" s="4"/>
      <c r="M46" s="4"/>
      <c r="N46" s="5"/>
      <c r="O46" s="5"/>
      <c r="P46" s="5"/>
    </row>
    <row r="47" spans="1:16" ht="15.75" customHeight="1" x14ac:dyDescent="0.25">
      <c r="A47" s="7" t="s">
        <v>111</v>
      </c>
      <c r="B47" s="8" t="s">
        <v>112</v>
      </c>
      <c r="C47" s="8" t="s">
        <v>14</v>
      </c>
      <c r="D47">
        <v>5</v>
      </c>
      <c r="E47" t="s">
        <v>289</v>
      </c>
      <c r="F47" s="4"/>
      <c r="G47" s="4"/>
      <c r="H47" s="5"/>
      <c r="I47" s="4"/>
      <c r="J47" s="4"/>
      <c r="K47" s="4"/>
      <c r="L47" s="4"/>
      <c r="M47" s="4"/>
      <c r="N47" s="5"/>
      <c r="O47" s="5"/>
      <c r="P47" s="5"/>
    </row>
    <row r="48" spans="1:16" ht="15.75" customHeight="1" x14ac:dyDescent="0.25">
      <c r="A48" s="7" t="s">
        <v>113</v>
      </c>
      <c r="B48" s="8" t="s">
        <v>114</v>
      </c>
      <c r="C48" s="8" t="s">
        <v>115</v>
      </c>
      <c r="D48">
        <v>1</v>
      </c>
      <c r="E48" t="s">
        <v>230</v>
      </c>
      <c r="F48" s="4"/>
      <c r="G48" s="4"/>
      <c r="H48" s="5"/>
      <c r="I48" s="4"/>
      <c r="J48" s="4"/>
      <c r="K48" s="4"/>
      <c r="L48" s="4"/>
      <c r="M48" s="4"/>
      <c r="N48" s="5"/>
      <c r="O48" s="5"/>
      <c r="P48" s="5"/>
    </row>
    <row r="49" spans="1:16" ht="15.75" customHeight="1" x14ac:dyDescent="0.25">
      <c r="A49" s="7" t="s">
        <v>116</v>
      </c>
      <c r="B49" s="8" t="s">
        <v>117</v>
      </c>
      <c r="C49" s="8" t="s">
        <v>25</v>
      </c>
      <c r="D49">
        <v>1</v>
      </c>
      <c r="E49" t="s">
        <v>252</v>
      </c>
      <c r="F49" s="4"/>
      <c r="G49" s="4"/>
      <c r="H49" s="5"/>
      <c r="I49" s="4"/>
      <c r="J49" s="4"/>
      <c r="K49" s="4"/>
      <c r="L49" s="4"/>
      <c r="M49" s="4"/>
      <c r="N49" s="5"/>
      <c r="O49" s="5"/>
      <c r="P49" s="5"/>
    </row>
    <row r="50" spans="1:16" ht="15.75" customHeight="1" x14ac:dyDescent="0.25">
      <c r="A50" s="7" t="s">
        <v>118</v>
      </c>
      <c r="B50" s="8" t="s">
        <v>119</v>
      </c>
      <c r="C50" s="8" t="s">
        <v>17</v>
      </c>
      <c r="D50">
        <v>5</v>
      </c>
      <c r="F50" s="4"/>
      <c r="G50" s="4"/>
      <c r="H50" s="5"/>
      <c r="I50" s="4"/>
      <c r="J50" s="4"/>
      <c r="K50" s="4"/>
      <c r="L50" s="4"/>
      <c r="M50" s="4"/>
      <c r="N50" s="5"/>
      <c r="O50" s="5"/>
      <c r="P50" s="5"/>
    </row>
    <row r="51" spans="1:16" ht="15.75" customHeight="1" x14ac:dyDescent="0.25">
      <c r="A51" s="7" t="s">
        <v>120</v>
      </c>
      <c r="B51" s="8" t="s">
        <v>121</v>
      </c>
      <c r="C51" s="8" t="s">
        <v>43</v>
      </c>
      <c r="D51">
        <v>3</v>
      </c>
      <c r="E51" t="s">
        <v>263</v>
      </c>
      <c r="F51" s="4"/>
      <c r="G51" s="4"/>
      <c r="H51" s="5"/>
      <c r="I51" s="4"/>
      <c r="J51" s="4"/>
      <c r="K51" s="4"/>
      <c r="L51" s="4"/>
      <c r="M51" s="4"/>
      <c r="N51" s="5"/>
      <c r="O51" s="5"/>
      <c r="P51" s="5"/>
    </row>
    <row r="52" spans="1:16" ht="15.75" customHeight="1" x14ac:dyDescent="0.25">
      <c r="A52" s="7" t="s">
        <v>122</v>
      </c>
      <c r="B52" s="8" t="s">
        <v>123</v>
      </c>
      <c r="C52" s="8" t="s">
        <v>5</v>
      </c>
      <c r="D52">
        <v>1</v>
      </c>
      <c r="E52" t="s">
        <v>252</v>
      </c>
      <c r="F52" s="4"/>
      <c r="G52" s="4"/>
      <c r="H52" s="5"/>
      <c r="I52" s="4"/>
      <c r="J52" s="4"/>
      <c r="K52" s="4"/>
      <c r="L52" s="4"/>
      <c r="M52" s="4"/>
      <c r="N52" s="5"/>
      <c r="O52" s="5"/>
      <c r="P52" s="5"/>
    </row>
    <row r="53" spans="1:16" ht="15.75" customHeight="1" x14ac:dyDescent="0.25">
      <c r="A53" s="7" t="s">
        <v>124</v>
      </c>
      <c r="B53" s="8" t="s">
        <v>125</v>
      </c>
      <c r="C53" s="8" t="s">
        <v>14</v>
      </c>
      <c r="D53">
        <v>1</v>
      </c>
      <c r="E53" t="s">
        <v>224</v>
      </c>
      <c r="F53" s="4"/>
      <c r="G53" s="4"/>
      <c r="H53" s="5"/>
      <c r="I53" s="4"/>
      <c r="J53" s="4"/>
      <c r="K53" s="4"/>
      <c r="L53" s="4"/>
      <c r="M53" s="4"/>
      <c r="N53" s="5"/>
      <c r="O53" s="5"/>
      <c r="P53" s="5"/>
    </row>
    <row r="54" spans="1:16" ht="15.75" customHeight="1" x14ac:dyDescent="0.25">
      <c r="A54" s="7" t="s">
        <v>126</v>
      </c>
      <c r="B54" s="8" t="s">
        <v>127</v>
      </c>
      <c r="C54" s="8" t="s">
        <v>25</v>
      </c>
      <c r="D54">
        <v>1</v>
      </c>
      <c r="E54" t="s">
        <v>277</v>
      </c>
      <c r="F54" s="4"/>
      <c r="G54" s="4"/>
      <c r="H54" s="5"/>
      <c r="I54" s="4"/>
      <c r="J54" s="4"/>
      <c r="K54" s="4"/>
      <c r="L54" s="4"/>
      <c r="M54" s="4"/>
      <c r="N54" s="5"/>
      <c r="O54" s="5"/>
      <c r="P54" s="5"/>
    </row>
    <row r="55" spans="1:16" ht="15.75" customHeight="1" x14ac:dyDescent="0.25">
      <c r="A55" s="7" t="s">
        <v>128</v>
      </c>
      <c r="B55" s="8" t="s">
        <v>129</v>
      </c>
      <c r="C55" s="8" t="s">
        <v>43</v>
      </c>
      <c r="D55">
        <v>1</v>
      </c>
      <c r="E55" t="s">
        <v>265</v>
      </c>
      <c r="F55" s="4"/>
      <c r="G55" s="4"/>
      <c r="H55" s="5"/>
      <c r="I55" s="4"/>
      <c r="J55" s="4"/>
      <c r="K55" s="4"/>
      <c r="L55" s="4"/>
      <c r="M55" s="4"/>
      <c r="N55" s="5"/>
      <c r="O55" s="5"/>
      <c r="P55" s="5"/>
    </row>
    <row r="56" spans="1:16" ht="15.75" customHeight="1" x14ac:dyDescent="0.25">
      <c r="A56" s="7" t="s">
        <v>130</v>
      </c>
      <c r="B56" s="8" t="s">
        <v>131</v>
      </c>
      <c r="C56" s="8" t="s">
        <v>14</v>
      </c>
      <c r="D56">
        <v>2</v>
      </c>
      <c r="F56" s="4"/>
      <c r="G56" s="4"/>
      <c r="H56" s="5"/>
      <c r="I56" s="4"/>
      <c r="J56" s="4"/>
      <c r="K56" s="4"/>
      <c r="L56" s="4"/>
      <c r="M56" s="4"/>
      <c r="N56" s="5"/>
      <c r="O56" s="5"/>
      <c r="P56" s="5"/>
    </row>
    <row r="57" spans="1:16" ht="15.75" customHeight="1" x14ac:dyDescent="0.25">
      <c r="A57" s="7" t="s">
        <v>132</v>
      </c>
      <c r="B57" s="8" t="s">
        <v>133</v>
      </c>
      <c r="C57" s="8" t="s">
        <v>57</v>
      </c>
      <c r="D57">
        <v>1</v>
      </c>
      <c r="E57" t="s">
        <v>260</v>
      </c>
      <c r="F57" s="4"/>
      <c r="G57" s="4"/>
      <c r="H57" s="5"/>
      <c r="I57" s="4"/>
      <c r="J57" s="4"/>
      <c r="K57" s="4"/>
      <c r="L57" s="4"/>
      <c r="M57" s="4"/>
      <c r="N57" s="5"/>
      <c r="O57" s="5"/>
      <c r="P57" s="5"/>
    </row>
    <row r="58" spans="1:16" ht="15.75" customHeight="1" x14ac:dyDescent="0.25">
      <c r="A58" s="7" t="s">
        <v>134</v>
      </c>
      <c r="B58" s="8" t="s">
        <v>135</v>
      </c>
      <c r="C58" s="8" t="s">
        <v>37</v>
      </c>
      <c r="D58">
        <v>2</v>
      </c>
      <c r="E58" t="s">
        <v>285</v>
      </c>
      <c r="F58" s="4"/>
      <c r="G58" s="4"/>
      <c r="H58" s="5"/>
      <c r="I58" s="4"/>
      <c r="J58" s="4"/>
      <c r="K58" s="4"/>
      <c r="L58" s="4"/>
      <c r="M58" s="4"/>
      <c r="N58" s="5"/>
      <c r="O58" s="5"/>
      <c r="P58" s="5"/>
    </row>
    <row r="59" spans="1:16" ht="15.75" customHeight="1" x14ac:dyDescent="0.25">
      <c r="A59" s="7" t="s">
        <v>136</v>
      </c>
      <c r="B59" s="8" t="s">
        <v>137</v>
      </c>
      <c r="C59" s="8" t="s">
        <v>17</v>
      </c>
      <c r="D59">
        <v>1</v>
      </c>
      <c r="E59" t="s">
        <v>237</v>
      </c>
      <c r="F59" s="4"/>
      <c r="G59" s="4"/>
      <c r="H59" s="5"/>
      <c r="I59" s="4"/>
      <c r="J59" s="4"/>
      <c r="K59" s="4"/>
      <c r="L59" s="4"/>
      <c r="M59" s="4"/>
      <c r="N59" s="5"/>
      <c r="O59" s="5"/>
      <c r="P59" s="5"/>
    </row>
    <row r="60" spans="1:16" ht="15.75" customHeight="1" x14ac:dyDescent="0.25">
      <c r="A60" s="7" t="s">
        <v>138</v>
      </c>
      <c r="B60" s="8" t="s">
        <v>139</v>
      </c>
      <c r="C60" s="8" t="s">
        <v>20</v>
      </c>
      <c r="D60">
        <v>2</v>
      </c>
      <c r="E60" t="s">
        <v>232</v>
      </c>
      <c r="F60" s="4"/>
      <c r="G60" s="4"/>
      <c r="H60" s="5"/>
      <c r="I60" s="4"/>
      <c r="J60" s="4"/>
      <c r="K60" s="4"/>
      <c r="L60" s="4"/>
      <c r="M60" s="4"/>
      <c r="N60" s="5"/>
      <c r="O60" s="5"/>
      <c r="P60" s="5"/>
    </row>
    <row r="61" spans="1:16" ht="15.75" customHeight="1" x14ac:dyDescent="0.25">
      <c r="A61" s="7" t="s">
        <v>140</v>
      </c>
      <c r="B61" s="8" t="s">
        <v>42</v>
      </c>
      <c r="C61" s="8" t="s">
        <v>51</v>
      </c>
      <c r="D61">
        <v>4</v>
      </c>
      <c r="E61" t="s">
        <v>258</v>
      </c>
      <c r="F61" s="4"/>
      <c r="G61" s="4"/>
      <c r="H61" s="5"/>
      <c r="I61" s="4"/>
      <c r="J61" s="4"/>
      <c r="K61" s="4"/>
      <c r="L61" s="4"/>
      <c r="M61" s="4"/>
      <c r="N61" s="5"/>
      <c r="O61" s="5"/>
      <c r="P61" s="5"/>
    </row>
    <row r="62" spans="1:16" ht="15.75" customHeight="1" x14ac:dyDescent="0.25">
      <c r="A62" s="7" t="s">
        <v>141</v>
      </c>
      <c r="B62" s="8" t="s">
        <v>142</v>
      </c>
      <c r="C62" s="8" t="s">
        <v>11</v>
      </c>
      <c r="D62">
        <v>2</v>
      </c>
      <c r="F62" s="4"/>
      <c r="G62" s="4"/>
      <c r="H62" s="5"/>
      <c r="I62" s="4"/>
      <c r="J62" s="4"/>
      <c r="K62" s="4"/>
      <c r="L62" s="4"/>
      <c r="M62" s="4"/>
      <c r="N62" s="5"/>
      <c r="O62" s="5"/>
      <c r="P62" s="5"/>
    </row>
    <row r="63" spans="1:16" ht="15.75" customHeight="1" x14ac:dyDescent="0.25">
      <c r="A63" s="7" t="s">
        <v>143</v>
      </c>
      <c r="B63" s="8" t="s">
        <v>144</v>
      </c>
      <c r="C63" s="8" t="s">
        <v>68</v>
      </c>
      <c r="D63">
        <v>2</v>
      </c>
      <c r="E63" t="s">
        <v>232</v>
      </c>
      <c r="F63" s="4"/>
      <c r="G63" s="4"/>
      <c r="H63" s="5"/>
      <c r="I63" s="4"/>
      <c r="J63" s="4"/>
      <c r="K63" s="4"/>
      <c r="L63" s="4"/>
      <c r="M63" s="4"/>
      <c r="N63" s="5"/>
      <c r="O63" s="5"/>
      <c r="P63" s="5"/>
    </row>
    <row r="64" spans="1:16" ht="15.75" customHeight="1" x14ac:dyDescent="0.25">
      <c r="A64" s="7" t="s">
        <v>145</v>
      </c>
      <c r="B64" s="8" t="s">
        <v>146</v>
      </c>
      <c r="C64" s="8" t="s">
        <v>51</v>
      </c>
      <c r="D64">
        <v>1</v>
      </c>
      <c r="E64" t="s">
        <v>238</v>
      </c>
      <c r="F64" s="4"/>
      <c r="G64" s="4"/>
      <c r="H64" s="5"/>
      <c r="I64" s="4"/>
      <c r="J64" s="4"/>
      <c r="K64" s="4"/>
      <c r="L64" s="4"/>
      <c r="M64" s="4"/>
      <c r="N64" s="5"/>
      <c r="O64" s="5"/>
      <c r="P64" s="5"/>
    </row>
    <row r="65" spans="1:16" ht="15.75" customHeight="1" x14ac:dyDescent="0.25">
      <c r="A65" s="7" t="s">
        <v>147</v>
      </c>
      <c r="B65" s="8" t="s">
        <v>148</v>
      </c>
      <c r="C65" s="8" t="s">
        <v>54</v>
      </c>
      <c r="D65">
        <v>2</v>
      </c>
      <c r="F65" s="4"/>
      <c r="G65" s="4"/>
      <c r="H65" s="5"/>
      <c r="I65" s="4"/>
      <c r="J65" s="4"/>
      <c r="K65" s="4"/>
      <c r="L65" s="4"/>
      <c r="M65" s="4"/>
      <c r="N65" s="5"/>
      <c r="O65" s="5"/>
      <c r="P65" s="5"/>
    </row>
    <row r="66" spans="1:16" ht="15.75" customHeight="1" x14ac:dyDescent="0.25">
      <c r="A66" s="7" t="s">
        <v>149</v>
      </c>
      <c r="B66" s="8" t="s">
        <v>150</v>
      </c>
      <c r="C66" s="8" t="s">
        <v>43</v>
      </c>
      <c r="D66">
        <v>1</v>
      </c>
      <c r="E66" t="s">
        <v>228</v>
      </c>
      <c r="G66" s="4"/>
      <c r="H66" s="5"/>
      <c r="I66" s="4"/>
      <c r="J66" s="4"/>
      <c r="K66" s="4"/>
      <c r="L66" s="4"/>
      <c r="M66" s="4"/>
      <c r="N66" s="5"/>
      <c r="O66" s="5"/>
      <c r="P66" s="5"/>
    </row>
    <row r="67" spans="1:16" ht="15.75" customHeight="1" x14ac:dyDescent="0.25">
      <c r="A67" s="7" t="s">
        <v>151</v>
      </c>
      <c r="B67" s="8" t="s">
        <v>152</v>
      </c>
      <c r="C67" s="8" t="s">
        <v>37</v>
      </c>
      <c r="D67">
        <v>2</v>
      </c>
      <c r="F67" s="4"/>
      <c r="G67" s="4"/>
      <c r="H67" s="5"/>
      <c r="I67" s="4"/>
      <c r="J67" s="4"/>
      <c r="K67" s="4"/>
      <c r="L67" s="4"/>
      <c r="M67" s="4"/>
      <c r="N67" s="5"/>
      <c r="O67" s="5"/>
      <c r="P67" s="5"/>
    </row>
    <row r="68" spans="1:16" ht="15.75" customHeight="1" x14ac:dyDescent="0.25">
      <c r="A68" s="7" t="s">
        <v>153</v>
      </c>
      <c r="B68" s="8" t="s">
        <v>154</v>
      </c>
      <c r="C68" s="8" t="s">
        <v>43</v>
      </c>
      <c r="D68">
        <v>1</v>
      </c>
      <c r="E68" t="s">
        <v>273</v>
      </c>
      <c r="F68" s="4"/>
      <c r="G68" s="4"/>
      <c r="H68" s="5"/>
      <c r="I68" s="4"/>
      <c r="J68" s="4"/>
      <c r="K68" s="4"/>
      <c r="L68" s="4"/>
      <c r="M68" s="4"/>
      <c r="N68" s="5"/>
      <c r="O68" s="5"/>
      <c r="P68" s="5"/>
    </row>
    <row r="69" spans="1:16" ht="15.75" customHeight="1" x14ac:dyDescent="0.25">
      <c r="A69" s="7" t="s">
        <v>155</v>
      </c>
      <c r="B69" s="8" t="s">
        <v>156</v>
      </c>
      <c r="C69" s="8" t="s">
        <v>40</v>
      </c>
      <c r="D69">
        <v>1</v>
      </c>
      <c r="E69" t="s">
        <v>268</v>
      </c>
      <c r="F69" s="4"/>
      <c r="G69" s="4"/>
      <c r="H69" s="5"/>
      <c r="I69" s="4"/>
      <c r="J69" s="4"/>
      <c r="K69" s="4"/>
      <c r="L69" s="4"/>
      <c r="M69" s="4"/>
      <c r="N69" s="5"/>
      <c r="O69" s="5"/>
      <c r="P69" s="5"/>
    </row>
    <row r="70" spans="1:16" ht="15.75" customHeight="1" x14ac:dyDescent="0.25">
      <c r="A70" s="7" t="s">
        <v>157</v>
      </c>
      <c r="B70" s="8" t="s">
        <v>158</v>
      </c>
      <c r="C70" s="8" t="s">
        <v>115</v>
      </c>
      <c r="D70">
        <v>2</v>
      </c>
      <c r="E70" t="s">
        <v>235</v>
      </c>
      <c r="F70" s="4"/>
      <c r="G70" s="4"/>
      <c r="H70" s="5"/>
      <c r="I70" s="4"/>
      <c r="J70" s="4"/>
      <c r="K70" s="4"/>
      <c r="L70" s="4"/>
      <c r="M70" s="4"/>
      <c r="N70" s="5"/>
      <c r="O70" s="5"/>
      <c r="P70" s="5"/>
    </row>
    <row r="71" spans="1:16" ht="15.75" customHeight="1" x14ac:dyDescent="0.25">
      <c r="A71" s="7" t="s">
        <v>159</v>
      </c>
      <c r="B71" s="8" t="s">
        <v>160</v>
      </c>
      <c r="C71" s="8" t="s">
        <v>68</v>
      </c>
      <c r="D71">
        <v>2</v>
      </c>
      <c r="E71" t="s">
        <v>251</v>
      </c>
      <c r="F71" s="4"/>
      <c r="G71" s="4"/>
      <c r="H71" s="5"/>
      <c r="I71" s="4"/>
      <c r="J71" s="4"/>
      <c r="K71" s="4"/>
      <c r="L71" s="4"/>
      <c r="M71" s="4"/>
      <c r="N71" s="5"/>
      <c r="O71" s="5"/>
      <c r="P71" s="5"/>
    </row>
    <row r="72" spans="1:16" ht="15.75" customHeight="1" x14ac:dyDescent="0.25">
      <c r="A72" s="7" t="s">
        <v>161</v>
      </c>
      <c r="B72" s="8" t="s">
        <v>162</v>
      </c>
      <c r="C72" s="8" t="s">
        <v>14</v>
      </c>
      <c r="D72">
        <v>1</v>
      </c>
      <c r="E72" t="s">
        <v>227</v>
      </c>
      <c r="F72" s="4"/>
      <c r="G72" s="4"/>
      <c r="H72" s="5"/>
      <c r="I72" s="4"/>
      <c r="J72" s="4"/>
      <c r="K72" s="4"/>
      <c r="L72" s="4"/>
      <c r="M72" s="4"/>
      <c r="N72" s="5"/>
      <c r="O72" s="5"/>
      <c r="P72" s="5"/>
    </row>
    <row r="73" spans="1:16" ht="15.75" customHeight="1" x14ac:dyDescent="0.25">
      <c r="A73" s="7" t="s">
        <v>163</v>
      </c>
      <c r="B73" s="8" t="s">
        <v>164</v>
      </c>
      <c r="C73" s="8" t="s">
        <v>54</v>
      </c>
      <c r="D73">
        <v>1</v>
      </c>
      <c r="E73" t="s">
        <v>279</v>
      </c>
      <c r="F73" s="4"/>
      <c r="G73" s="4"/>
      <c r="H73" s="5"/>
      <c r="I73" s="4"/>
      <c r="J73" s="4"/>
      <c r="K73" s="4"/>
      <c r="L73" s="4"/>
      <c r="M73" s="4"/>
      <c r="N73" s="5"/>
      <c r="O73" s="5"/>
      <c r="P73" s="5"/>
    </row>
    <row r="74" spans="1:16" ht="15.75" customHeight="1" x14ac:dyDescent="0.25">
      <c r="A74" s="7" t="s">
        <v>165</v>
      </c>
      <c r="B74" s="8" t="s">
        <v>166</v>
      </c>
      <c r="C74" s="8" t="s">
        <v>14</v>
      </c>
      <c r="D74">
        <v>1</v>
      </c>
      <c r="E74" t="s">
        <v>262</v>
      </c>
      <c r="F74" s="4"/>
      <c r="G74" s="4"/>
      <c r="H74" s="5"/>
      <c r="I74" s="4"/>
      <c r="J74" s="4"/>
      <c r="K74" s="4"/>
      <c r="L74" s="4"/>
      <c r="M74" s="4"/>
      <c r="N74" s="5"/>
      <c r="O74" s="5"/>
      <c r="P74" s="5"/>
    </row>
    <row r="75" spans="1:16" ht="15.75" customHeight="1" x14ac:dyDescent="0.25">
      <c r="A75" s="7" t="s">
        <v>167</v>
      </c>
      <c r="B75" s="8" t="s">
        <v>168</v>
      </c>
      <c r="C75" s="8" t="s">
        <v>68</v>
      </c>
      <c r="D75">
        <v>2</v>
      </c>
      <c r="E75" t="s">
        <v>242</v>
      </c>
      <c r="F75" s="4"/>
      <c r="G75" s="4"/>
      <c r="H75" s="5"/>
      <c r="I75" s="4"/>
      <c r="J75" s="4"/>
      <c r="K75" s="4"/>
      <c r="L75" s="4"/>
      <c r="M75" s="4"/>
      <c r="N75" s="5"/>
      <c r="O75" s="5"/>
      <c r="P75" s="5"/>
    </row>
    <row r="76" spans="1:16" ht="15.75" customHeight="1" x14ac:dyDescent="0.25">
      <c r="A76" s="7" t="s">
        <v>169</v>
      </c>
      <c r="B76" s="8" t="s">
        <v>170</v>
      </c>
      <c r="C76" s="8" t="s">
        <v>11</v>
      </c>
      <c r="D76">
        <v>5</v>
      </c>
      <c r="E76" t="s">
        <v>244</v>
      </c>
      <c r="F76" s="4"/>
      <c r="G76" s="4"/>
      <c r="H76" s="5"/>
      <c r="I76" s="4"/>
      <c r="J76" s="4"/>
      <c r="K76" s="4"/>
      <c r="L76" s="4"/>
      <c r="M76" s="4"/>
      <c r="N76" s="5"/>
      <c r="O76" s="5"/>
      <c r="P76" s="5"/>
    </row>
    <row r="77" spans="1:16" ht="15.75" customHeight="1" x14ac:dyDescent="0.25">
      <c r="A77" s="7" t="s">
        <v>171</v>
      </c>
      <c r="B77" s="8" t="s">
        <v>172</v>
      </c>
      <c r="C77" s="8" t="s">
        <v>115</v>
      </c>
      <c r="D77">
        <v>2</v>
      </c>
      <c r="E77" t="s">
        <v>270</v>
      </c>
      <c r="F77" s="4"/>
      <c r="G77" s="4"/>
      <c r="H77" s="5"/>
      <c r="I77" s="4"/>
      <c r="J77" s="4"/>
      <c r="K77" s="4"/>
      <c r="L77" s="4"/>
      <c r="M77" s="4"/>
      <c r="N77" s="5"/>
      <c r="O77" s="5"/>
      <c r="P77" s="5"/>
    </row>
    <row r="78" spans="1:16" ht="15.75" customHeight="1" x14ac:dyDescent="0.25">
      <c r="A78" s="7" t="s">
        <v>173</v>
      </c>
      <c r="B78" s="8" t="s">
        <v>174</v>
      </c>
      <c r="C78" s="8" t="s">
        <v>57</v>
      </c>
      <c r="D78">
        <v>1</v>
      </c>
      <c r="E78" t="s">
        <v>287</v>
      </c>
      <c r="F78" s="4"/>
      <c r="G78" s="4"/>
      <c r="H78" s="5"/>
      <c r="I78" s="4"/>
      <c r="J78" s="4"/>
      <c r="K78" s="4"/>
      <c r="L78" s="4"/>
      <c r="M78" s="4"/>
      <c r="N78" s="5"/>
      <c r="O78" s="5"/>
      <c r="P78" s="5"/>
    </row>
    <row r="79" spans="1:16" ht="15.75" customHeight="1" x14ac:dyDescent="0.25">
      <c r="A79" s="7" t="s">
        <v>175</v>
      </c>
      <c r="B79" s="8" t="s">
        <v>176</v>
      </c>
      <c r="C79" s="8" t="s">
        <v>86</v>
      </c>
      <c r="D79">
        <v>3</v>
      </c>
      <c r="E79" t="s">
        <v>286</v>
      </c>
      <c r="F79" s="4"/>
      <c r="G79" s="4"/>
      <c r="H79" s="5"/>
      <c r="I79" s="4"/>
      <c r="J79" s="4"/>
      <c r="K79" s="4"/>
      <c r="L79" s="4"/>
      <c r="M79" s="4"/>
      <c r="N79" s="5"/>
      <c r="O79" s="5"/>
      <c r="P79" s="5"/>
    </row>
    <row r="80" spans="1:16" ht="15.75" customHeight="1" x14ac:dyDescent="0.25">
      <c r="A80" s="7" t="s">
        <v>177</v>
      </c>
      <c r="B80" s="8" t="s">
        <v>178</v>
      </c>
      <c r="C80" s="8" t="s">
        <v>54</v>
      </c>
      <c r="D80">
        <v>5</v>
      </c>
      <c r="E80" t="s">
        <v>245</v>
      </c>
      <c r="F80" s="4"/>
      <c r="G80" s="4"/>
      <c r="H80" s="5"/>
      <c r="I80" s="4"/>
      <c r="J80" s="4"/>
      <c r="K80" s="4"/>
      <c r="L80" s="4"/>
      <c r="M80" s="4"/>
      <c r="N80" s="5"/>
      <c r="O80" s="5"/>
      <c r="P80" s="5"/>
    </row>
    <row r="81" spans="1:16" ht="15.75" customHeight="1" x14ac:dyDescent="0.25">
      <c r="A81" s="7" t="s">
        <v>179</v>
      </c>
      <c r="B81" s="8" t="s">
        <v>180</v>
      </c>
      <c r="C81" s="8" t="s">
        <v>40</v>
      </c>
      <c r="D81">
        <v>2</v>
      </c>
      <c r="E81" t="s">
        <v>223</v>
      </c>
      <c r="F81" s="4"/>
      <c r="G81" s="4"/>
      <c r="H81" s="5"/>
      <c r="I81" s="4"/>
      <c r="J81" s="4"/>
      <c r="K81" s="4"/>
      <c r="L81" s="4"/>
      <c r="M81" s="4"/>
      <c r="N81" s="5"/>
      <c r="O81" s="5"/>
      <c r="P81" s="5"/>
    </row>
    <row r="82" spans="1:16" ht="15.75" customHeight="1" x14ac:dyDescent="0.25">
      <c r="A82" s="7" t="s">
        <v>181</v>
      </c>
      <c r="B82" s="8" t="s">
        <v>182</v>
      </c>
      <c r="C82" s="8" t="s">
        <v>5</v>
      </c>
      <c r="D82">
        <v>1</v>
      </c>
      <c r="E82" t="s">
        <v>253</v>
      </c>
      <c r="F82" s="4"/>
      <c r="G82" s="4"/>
      <c r="H82" s="5"/>
      <c r="I82" s="4"/>
      <c r="J82" s="4"/>
      <c r="K82" s="4"/>
      <c r="L82" s="4"/>
      <c r="M82" s="4"/>
      <c r="N82" s="5"/>
      <c r="O82" s="5"/>
      <c r="P82" s="5"/>
    </row>
    <row r="83" spans="1:16" ht="15.75" customHeight="1" x14ac:dyDescent="0.25">
      <c r="A83" s="7" t="s">
        <v>183</v>
      </c>
      <c r="B83" s="8" t="s">
        <v>184</v>
      </c>
      <c r="C83" s="8" t="s">
        <v>8</v>
      </c>
      <c r="D83">
        <v>1</v>
      </c>
      <c r="E83" t="s">
        <v>224</v>
      </c>
      <c r="F83" s="4"/>
      <c r="G83" s="4"/>
      <c r="H83" s="5"/>
      <c r="I83" s="4"/>
      <c r="J83" s="4"/>
      <c r="K83" s="4"/>
      <c r="L83" s="4"/>
      <c r="M83" s="4"/>
      <c r="N83" s="5"/>
      <c r="O83" s="5"/>
      <c r="P83" s="5"/>
    </row>
    <row r="84" spans="1:16" ht="15.75" customHeight="1" x14ac:dyDescent="0.25">
      <c r="A84" s="7" t="s">
        <v>185</v>
      </c>
      <c r="B84" s="8" t="s">
        <v>186</v>
      </c>
      <c r="C84" s="8" t="s">
        <v>28</v>
      </c>
      <c r="D84">
        <v>1</v>
      </c>
      <c r="E84" t="s">
        <v>276</v>
      </c>
      <c r="F84" s="4"/>
      <c r="G84" s="4"/>
      <c r="H84" s="5"/>
      <c r="I84" s="4"/>
      <c r="J84" s="4"/>
      <c r="K84" s="4"/>
      <c r="L84" s="4"/>
      <c r="M84" s="4"/>
      <c r="N84" s="5"/>
      <c r="O84" s="5"/>
      <c r="P84" s="5"/>
    </row>
    <row r="85" spans="1:16" ht="15.75" customHeight="1" x14ac:dyDescent="0.25">
      <c r="A85" s="7" t="s">
        <v>187</v>
      </c>
      <c r="B85" s="8" t="s">
        <v>188</v>
      </c>
      <c r="C85" s="8" t="s">
        <v>86</v>
      </c>
      <c r="D85">
        <v>1</v>
      </c>
      <c r="E85" t="s">
        <v>248</v>
      </c>
      <c r="F85" s="4"/>
      <c r="G85" s="4"/>
      <c r="H85" s="5"/>
      <c r="I85" s="4"/>
      <c r="J85" s="4"/>
      <c r="K85" s="4"/>
      <c r="L85" s="4"/>
      <c r="M85" s="4"/>
      <c r="N85" s="5"/>
      <c r="O85" s="5"/>
      <c r="P85" s="5"/>
    </row>
    <row r="86" spans="1:16" ht="15.75" customHeight="1" x14ac:dyDescent="0.25">
      <c r="A86" s="7" t="s">
        <v>189</v>
      </c>
      <c r="B86" s="8" t="s">
        <v>190</v>
      </c>
      <c r="C86" s="8" t="s">
        <v>37</v>
      </c>
      <c r="D86">
        <v>1</v>
      </c>
      <c r="E86" t="s">
        <v>230</v>
      </c>
      <c r="F86" s="4"/>
      <c r="G86" s="4"/>
      <c r="H86" s="5"/>
      <c r="I86" s="4"/>
      <c r="J86" s="4"/>
      <c r="K86" s="4"/>
      <c r="L86" s="4"/>
      <c r="M86" s="4"/>
      <c r="N86" s="5"/>
      <c r="O86" s="5"/>
      <c r="P86" s="5"/>
    </row>
    <row r="87" spans="1:16" ht="15.75" customHeight="1" x14ac:dyDescent="0.25">
      <c r="A87" s="7" t="s">
        <v>191</v>
      </c>
      <c r="B87" s="8" t="s">
        <v>192</v>
      </c>
      <c r="C87" s="8" t="s">
        <v>28</v>
      </c>
      <c r="D87">
        <v>1</v>
      </c>
      <c r="E87" t="s">
        <v>250</v>
      </c>
      <c r="F87" s="4"/>
      <c r="G87" s="4"/>
      <c r="H87" s="5"/>
      <c r="I87" s="4"/>
      <c r="J87" s="4"/>
      <c r="K87" s="4"/>
      <c r="L87" s="4"/>
      <c r="M87" s="4"/>
      <c r="N87" s="5"/>
      <c r="O87" s="5"/>
      <c r="P87" s="5"/>
    </row>
    <row r="88" spans="1:16" ht="15.75" customHeight="1" x14ac:dyDescent="0.25">
      <c r="A88" s="7" t="s">
        <v>193</v>
      </c>
      <c r="B88" s="8" t="s">
        <v>194</v>
      </c>
      <c r="C88" s="8" t="s">
        <v>20</v>
      </c>
      <c r="D88">
        <v>1</v>
      </c>
      <c r="E88" t="s">
        <v>288</v>
      </c>
      <c r="F88" s="4"/>
      <c r="G88" s="4"/>
      <c r="H88" s="5"/>
      <c r="I88" s="4"/>
      <c r="J88" s="4"/>
      <c r="K88" s="4"/>
      <c r="L88" s="4"/>
      <c r="M88" s="4"/>
      <c r="N88" s="5"/>
      <c r="O88" s="5"/>
      <c r="P88" s="5"/>
    </row>
    <row r="89" spans="1:16" ht="15.75" customHeight="1" x14ac:dyDescent="0.25">
      <c r="A89" s="7" t="s">
        <v>195</v>
      </c>
      <c r="B89" s="8" t="s">
        <v>196</v>
      </c>
      <c r="C89" s="8" t="s">
        <v>25</v>
      </c>
      <c r="D89">
        <v>1</v>
      </c>
      <c r="E89" t="s">
        <v>241</v>
      </c>
      <c r="F89" s="4"/>
      <c r="G89" s="4"/>
      <c r="H89" s="5"/>
      <c r="I89" s="4"/>
      <c r="J89" s="4"/>
      <c r="K89" s="4"/>
      <c r="L89" s="4"/>
      <c r="M89" s="4"/>
      <c r="N89" s="5"/>
      <c r="O89" s="5"/>
      <c r="P89" s="5"/>
    </row>
    <row r="90" spans="1:16" ht="15.75" customHeight="1" x14ac:dyDescent="0.25">
      <c r="A90" s="7" t="s">
        <v>197</v>
      </c>
      <c r="B90" s="8" t="s">
        <v>198</v>
      </c>
      <c r="C90" s="8" t="s">
        <v>51</v>
      </c>
      <c r="D90">
        <v>2</v>
      </c>
      <c r="F90" s="4"/>
      <c r="G90" s="4"/>
      <c r="H90" s="5"/>
      <c r="I90" s="4"/>
      <c r="J90" s="4"/>
      <c r="K90" s="4"/>
      <c r="L90" s="4"/>
      <c r="M90" s="4"/>
      <c r="N90" s="5"/>
      <c r="O90" s="5"/>
      <c r="P90" s="5"/>
    </row>
    <row r="91" spans="1:16" ht="15.75" customHeight="1" x14ac:dyDescent="0.25">
      <c r="A91" s="7" t="s">
        <v>199</v>
      </c>
      <c r="B91" s="8" t="s">
        <v>200</v>
      </c>
      <c r="C91" s="8" t="s">
        <v>5</v>
      </c>
      <c r="D91">
        <v>2</v>
      </c>
      <c r="F91" s="4"/>
      <c r="G91" s="4"/>
      <c r="H91" s="5"/>
      <c r="I91" s="4"/>
      <c r="J91" s="4"/>
      <c r="K91" s="4"/>
      <c r="L91" s="4"/>
      <c r="M91" s="4"/>
      <c r="N91" s="5"/>
      <c r="O91" s="5"/>
      <c r="P91" s="5"/>
    </row>
    <row r="92" spans="1:16" ht="15.75" customHeight="1" x14ac:dyDescent="0.25">
      <c r="A92" s="7" t="s">
        <v>201</v>
      </c>
      <c r="B92" s="8" t="s">
        <v>202</v>
      </c>
      <c r="C92" s="8" t="s">
        <v>5</v>
      </c>
      <c r="D92">
        <v>3</v>
      </c>
      <c r="E92" t="s">
        <v>256</v>
      </c>
      <c r="F92" s="4"/>
      <c r="G92" s="4"/>
      <c r="H92" s="5"/>
      <c r="I92" s="4"/>
      <c r="J92" s="4"/>
      <c r="K92" s="4"/>
      <c r="L92" s="4"/>
      <c r="M92" s="4"/>
      <c r="N92" s="5"/>
      <c r="O92" s="5"/>
      <c r="P92" s="5"/>
    </row>
    <row r="93" spans="1:16" ht="15.75" customHeight="1" x14ac:dyDescent="0.25">
      <c r="A93" s="7" t="s">
        <v>203</v>
      </c>
      <c r="B93" s="8" t="s">
        <v>204</v>
      </c>
      <c r="C93" s="8" t="s">
        <v>14</v>
      </c>
      <c r="D93">
        <v>1</v>
      </c>
      <c r="E93" t="s">
        <v>252</v>
      </c>
      <c r="F93" s="4"/>
      <c r="G93" s="4"/>
      <c r="H93" s="5"/>
      <c r="I93" s="4"/>
      <c r="J93" s="4"/>
      <c r="K93" s="4"/>
      <c r="L93" s="4"/>
      <c r="M93" s="4"/>
      <c r="N93" s="5"/>
      <c r="O93" s="5"/>
      <c r="P93" s="5"/>
    </row>
    <row r="94" spans="1:16" ht="15.75" customHeight="1" x14ac:dyDescent="0.25">
      <c r="A94" s="7" t="s">
        <v>205</v>
      </c>
      <c r="B94" s="8" t="s">
        <v>206</v>
      </c>
      <c r="C94" s="8" t="s">
        <v>28</v>
      </c>
      <c r="D94">
        <v>5</v>
      </c>
      <c r="E94" t="s">
        <v>274</v>
      </c>
      <c r="F94" s="4"/>
      <c r="G94" s="4"/>
      <c r="H94" s="5"/>
      <c r="I94" s="4"/>
      <c r="J94" s="4"/>
      <c r="K94" s="4"/>
      <c r="L94" s="4"/>
      <c r="M94" s="4"/>
      <c r="N94" s="5"/>
      <c r="O94" s="5"/>
      <c r="P94" s="5"/>
    </row>
    <row r="95" spans="1:16" ht="15.75" customHeight="1" x14ac:dyDescent="0.25">
      <c r="A95" s="7" t="s">
        <v>207</v>
      </c>
      <c r="B95" s="8" t="s">
        <v>208</v>
      </c>
      <c r="C95" s="8" t="s">
        <v>57</v>
      </c>
      <c r="D95">
        <v>1</v>
      </c>
      <c r="E95" t="s">
        <v>238</v>
      </c>
      <c r="F95" s="4"/>
      <c r="G95" s="4"/>
      <c r="H95" s="5"/>
      <c r="I95" s="4"/>
      <c r="J95" s="4"/>
      <c r="K95" s="4"/>
      <c r="L95" s="4"/>
      <c r="M95" s="4"/>
      <c r="N95" s="5"/>
      <c r="O95" s="5"/>
      <c r="P95" s="5"/>
    </row>
    <row r="96" spans="1:16" ht="15.75" customHeight="1" x14ac:dyDescent="0.25">
      <c r="A96" s="7" t="s">
        <v>209</v>
      </c>
      <c r="B96" s="8" t="s">
        <v>210</v>
      </c>
      <c r="C96" s="8" t="s">
        <v>5</v>
      </c>
      <c r="D96">
        <v>2</v>
      </c>
      <c r="F96" s="4"/>
      <c r="G96" s="4"/>
      <c r="H96" s="5"/>
      <c r="I96" s="4"/>
      <c r="J96" s="4"/>
      <c r="K96" s="4"/>
      <c r="L96" s="4"/>
      <c r="M96" s="4"/>
      <c r="N96" s="5"/>
      <c r="O96" s="5"/>
      <c r="P96" s="5"/>
    </row>
    <row r="97" spans="1:16" ht="15.75" customHeight="1" x14ac:dyDescent="0.25">
      <c r="A97" s="7" t="s">
        <v>211</v>
      </c>
      <c r="B97" s="8" t="s">
        <v>212</v>
      </c>
      <c r="C97" s="8" t="s">
        <v>11</v>
      </c>
      <c r="D97">
        <v>2</v>
      </c>
      <c r="F97" s="4"/>
      <c r="G97" s="4"/>
      <c r="H97" s="5"/>
      <c r="I97" s="4"/>
      <c r="J97" s="4"/>
      <c r="K97" s="4"/>
      <c r="L97" s="4"/>
      <c r="M97" s="4"/>
      <c r="N97" s="5"/>
      <c r="O97" s="5"/>
      <c r="P97" s="5"/>
    </row>
    <row r="98" spans="1:16" ht="15.75" customHeight="1" x14ac:dyDescent="0.25">
      <c r="A98" s="7" t="s">
        <v>213</v>
      </c>
      <c r="B98" s="8" t="s">
        <v>214</v>
      </c>
      <c r="C98" s="8" t="s">
        <v>5</v>
      </c>
      <c r="D98">
        <v>2</v>
      </c>
      <c r="F98" s="4"/>
      <c r="G98" s="4"/>
      <c r="H98" s="5"/>
      <c r="I98" s="4"/>
      <c r="J98" s="4"/>
      <c r="K98" s="4"/>
      <c r="L98" s="4"/>
      <c r="M98" s="4"/>
      <c r="N98" s="5"/>
      <c r="O98" s="5"/>
      <c r="P98" s="5"/>
    </row>
    <row r="99" spans="1:16" ht="15.75" customHeight="1" x14ac:dyDescent="0.25">
      <c r="A99" s="7" t="s">
        <v>215</v>
      </c>
      <c r="B99" s="8" t="s">
        <v>216</v>
      </c>
      <c r="C99" s="8" t="s">
        <v>37</v>
      </c>
      <c r="D99">
        <v>4</v>
      </c>
      <c r="E99" t="s">
        <v>254</v>
      </c>
      <c r="F99" s="4"/>
      <c r="G99" s="4"/>
      <c r="H99" s="5"/>
      <c r="I99" s="4"/>
      <c r="J99" s="4"/>
      <c r="K99" s="4"/>
      <c r="L99" s="4"/>
      <c r="M99" s="4"/>
      <c r="N99" s="5"/>
      <c r="O99" s="5"/>
      <c r="P99" s="5"/>
    </row>
    <row r="100" spans="1:16" ht="15.75" customHeight="1" x14ac:dyDescent="0.25">
      <c r="A100" s="7" t="s">
        <v>217</v>
      </c>
      <c r="B100" s="8" t="s">
        <v>218</v>
      </c>
      <c r="C100" s="8" t="s">
        <v>40</v>
      </c>
      <c r="D100">
        <v>3</v>
      </c>
      <c r="E100" t="s">
        <v>255</v>
      </c>
      <c r="F100" s="4"/>
      <c r="G100" s="4"/>
      <c r="H100" s="5"/>
      <c r="I100" s="4"/>
      <c r="J100" s="4"/>
      <c r="K100" s="4"/>
      <c r="L100" s="4"/>
      <c r="M100" s="4"/>
      <c r="N100" s="5"/>
      <c r="O100" s="5"/>
      <c r="P100" s="5"/>
    </row>
    <row r="101" spans="1:16" ht="15.75" customHeight="1" x14ac:dyDescent="0.25">
      <c r="A101" s="7" t="s">
        <v>219</v>
      </c>
      <c r="B101" s="8" t="s">
        <v>220</v>
      </c>
      <c r="C101" s="8" t="s">
        <v>57</v>
      </c>
      <c r="D101">
        <v>5</v>
      </c>
      <c r="E101" t="s">
        <v>249</v>
      </c>
      <c r="F101" s="4"/>
      <c r="G101" s="4"/>
      <c r="H101" s="5"/>
      <c r="I101" s="4"/>
      <c r="J101" s="4"/>
      <c r="K101" s="4"/>
      <c r="L101" s="4"/>
      <c r="M101" s="4"/>
      <c r="N101" s="5"/>
      <c r="O101" s="5"/>
      <c r="P101" s="5"/>
    </row>
    <row r="102" spans="1:16" ht="15.75" customHeight="1" x14ac:dyDescent="0.25">
      <c r="F102" s="4"/>
      <c r="G102" s="4"/>
      <c r="H102" s="5"/>
      <c r="I102" s="4"/>
      <c r="J102" s="4"/>
      <c r="K102" s="4"/>
      <c r="L102" s="4"/>
      <c r="M102" s="4"/>
      <c r="N102" s="5"/>
      <c r="O102" s="5"/>
      <c r="P102" s="5"/>
    </row>
    <row r="103" spans="1:16" ht="15.75" customHeight="1" x14ac:dyDescent="0.25">
      <c r="F103" s="4"/>
      <c r="G103" s="4"/>
      <c r="H103" s="5"/>
      <c r="I103" s="4"/>
      <c r="J103" s="4"/>
      <c r="K103" s="4"/>
      <c r="L103" s="4"/>
      <c r="M103" s="4"/>
      <c r="N103" s="5"/>
      <c r="O103" s="5"/>
      <c r="P103" s="5"/>
    </row>
    <row r="104" spans="1:16" ht="15.75" customHeight="1" x14ac:dyDescent="0.25">
      <c r="F104" s="4"/>
      <c r="G104" s="4"/>
      <c r="H104" s="5"/>
      <c r="I104" s="4"/>
      <c r="J104" s="4"/>
      <c r="K104" s="4"/>
      <c r="L104" s="4"/>
      <c r="M104" s="4"/>
      <c r="N104" s="5"/>
      <c r="O104" s="5"/>
      <c r="P104" s="5"/>
    </row>
    <row r="105" spans="1:16" ht="15.75" customHeight="1" x14ac:dyDescent="0.25">
      <c r="F105" s="4"/>
      <c r="G105" s="4"/>
      <c r="H105" s="5"/>
      <c r="I105" s="4"/>
      <c r="J105" s="4"/>
      <c r="K105" s="4"/>
      <c r="L105" s="4"/>
      <c r="M105" s="4"/>
      <c r="N105" s="5"/>
      <c r="O105" s="5"/>
      <c r="P105" s="5"/>
    </row>
    <row r="106" spans="1:16" ht="15.75" customHeight="1" x14ac:dyDescent="0.25">
      <c r="F106" s="4"/>
      <c r="G106" s="4"/>
      <c r="H106" s="5"/>
      <c r="I106" s="4"/>
      <c r="J106" s="4"/>
      <c r="K106" s="4"/>
      <c r="L106" s="4"/>
      <c r="M106" s="4"/>
      <c r="N106" s="5"/>
      <c r="O106" s="5"/>
      <c r="P106" s="5"/>
    </row>
    <row r="107" spans="1:16" ht="15.75" customHeight="1" x14ac:dyDescent="0.25">
      <c r="F107" s="4"/>
      <c r="G107" s="4"/>
      <c r="H107" s="5"/>
      <c r="I107" s="4"/>
      <c r="J107" s="4"/>
      <c r="K107" s="4"/>
      <c r="L107" s="4"/>
      <c r="M107" s="4"/>
      <c r="N107" s="5"/>
      <c r="O107" s="5"/>
      <c r="P107" s="5"/>
    </row>
    <row r="108" spans="1:16" ht="15.75" customHeight="1" x14ac:dyDescent="0.25">
      <c r="F108" s="4"/>
      <c r="G108" s="4"/>
      <c r="H108" s="5"/>
      <c r="I108" s="4"/>
      <c r="J108" s="4"/>
      <c r="K108" s="4"/>
      <c r="L108" s="4"/>
      <c r="M108" s="4"/>
      <c r="N108" s="5"/>
      <c r="O108" s="5"/>
      <c r="P108" s="5"/>
    </row>
    <row r="109" spans="1:16" ht="15.75" customHeight="1" x14ac:dyDescent="0.25">
      <c r="F109" s="4"/>
      <c r="G109" s="4"/>
      <c r="H109" s="5"/>
      <c r="I109" s="4"/>
      <c r="J109" s="4"/>
      <c r="K109" s="4"/>
      <c r="L109" s="4"/>
      <c r="M109" s="4"/>
      <c r="N109" s="5"/>
      <c r="O109" s="5"/>
      <c r="P109" s="5"/>
    </row>
    <row r="110" spans="1:16" ht="15.75" customHeight="1" x14ac:dyDescent="0.25">
      <c r="F110" s="4"/>
      <c r="G110" s="4"/>
      <c r="H110" s="5"/>
      <c r="I110" s="4"/>
      <c r="J110" s="4"/>
      <c r="K110" s="4"/>
      <c r="L110" s="4"/>
      <c r="M110" s="4"/>
      <c r="N110" s="5"/>
      <c r="O110" s="5"/>
      <c r="P110" s="5"/>
    </row>
    <row r="111" spans="1:16" ht="15.75" customHeight="1" x14ac:dyDescent="0.25">
      <c r="F111" s="4"/>
      <c r="G111" s="4"/>
      <c r="H111" s="5"/>
      <c r="I111" s="4"/>
      <c r="J111" s="4"/>
      <c r="K111" s="4"/>
      <c r="L111" s="4"/>
      <c r="M111" s="4"/>
      <c r="N111" s="5"/>
      <c r="O111" s="5"/>
      <c r="P111" s="5"/>
    </row>
    <row r="112" spans="1:16" ht="15.75" customHeight="1" x14ac:dyDescent="0.25">
      <c r="F112" s="4"/>
      <c r="G112" s="4"/>
      <c r="H112" s="5"/>
      <c r="I112" s="4"/>
      <c r="J112" s="4"/>
      <c r="K112" s="4"/>
      <c r="L112" s="4"/>
      <c r="M112" s="4"/>
      <c r="N112" s="5"/>
      <c r="O112" s="5"/>
      <c r="P112" s="5"/>
    </row>
    <row r="113" spans="1:16" ht="15.75" customHeight="1" x14ac:dyDescent="0.25">
      <c r="F113" s="4"/>
      <c r="G113" s="4"/>
      <c r="H113" s="5"/>
      <c r="I113" s="4"/>
      <c r="J113" s="4"/>
      <c r="K113" s="4"/>
      <c r="L113" s="4"/>
      <c r="M113" s="4"/>
      <c r="N113" s="5"/>
      <c r="O113" s="5"/>
      <c r="P113" s="5"/>
    </row>
    <row r="114" spans="1:16" ht="15.75" customHeight="1" x14ac:dyDescent="0.25">
      <c r="F114" s="4"/>
      <c r="G114" s="4"/>
      <c r="H114" s="5"/>
      <c r="I114" s="4"/>
      <c r="J114" s="4"/>
      <c r="K114" s="4"/>
      <c r="L114" s="4"/>
      <c r="M114" s="4"/>
      <c r="N114" s="5"/>
      <c r="O114" s="5"/>
      <c r="P114" s="5"/>
    </row>
    <row r="115" spans="1:16" ht="15.75" customHeight="1" x14ac:dyDescent="0.25">
      <c r="F115" s="4"/>
      <c r="G115" s="4"/>
      <c r="H115" s="5"/>
      <c r="I115" s="4"/>
      <c r="J115" s="4"/>
      <c r="K115" s="4"/>
      <c r="L115" s="4"/>
      <c r="M115" s="4"/>
      <c r="N115" s="5"/>
      <c r="O115" s="5"/>
      <c r="P115" s="5"/>
    </row>
    <row r="116" spans="1:16" ht="15.75" customHeight="1" x14ac:dyDescent="0.25">
      <c r="A116" s="4"/>
      <c r="B116" s="4"/>
      <c r="C116" s="4"/>
      <c r="D116" s="4"/>
      <c r="E116" s="4"/>
      <c r="F116" s="4"/>
      <c r="G116" s="4"/>
      <c r="H116" s="5"/>
      <c r="I116" s="4"/>
      <c r="J116" s="4"/>
      <c r="K116" s="4"/>
      <c r="L116" s="4"/>
      <c r="M116" s="4"/>
      <c r="N116" s="5"/>
      <c r="O116" s="5"/>
      <c r="P116" s="5"/>
    </row>
    <row r="117" spans="1:16" ht="15.75" customHeight="1" x14ac:dyDescent="0.25">
      <c r="A117" s="4"/>
      <c r="B117" s="4"/>
      <c r="C117" s="4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5"/>
      <c r="O117" s="5"/>
      <c r="P117" s="5"/>
    </row>
    <row r="118" spans="1:16" ht="15.75" customHeight="1" x14ac:dyDescent="0.25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5"/>
      <c r="O118" s="5"/>
      <c r="P118" s="5"/>
    </row>
    <row r="119" spans="1:16" ht="15.75" customHeight="1" x14ac:dyDescent="0.25">
      <c r="A119" s="4"/>
      <c r="B119" s="4"/>
      <c r="C119" s="4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5"/>
      <c r="O119" s="5"/>
      <c r="P119" s="5"/>
    </row>
    <row r="120" spans="1:16" ht="15.75" customHeight="1" x14ac:dyDescent="0.25">
      <c r="A120" s="4"/>
      <c r="B120" s="4"/>
      <c r="C120" s="4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5"/>
      <c r="O120" s="5"/>
      <c r="P120" s="5"/>
    </row>
    <row r="121" spans="1:16" ht="15.75" customHeight="1" x14ac:dyDescent="0.25">
      <c r="A121" s="4"/>
      <c r="B121" s="4"/>
      <c r="C121" s="4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5"/>
      <c r="O121" s="5"/>
      <c r="P121" s="5"/>
    </row>
    <row r="122" spans="1:16" ht="15.75" customHeight="1" x14ac:dyDescent="0.25">
      <c r="A122" s="4"/>
      <c r="B122" s="4"/>
      <c r="C122" s="4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5"/>
      <c r="O122" s="5"/>
      <c r="P122" s="5"/>
    </row>
    <row r="123" spans="1:16" ht="15.75" customHeight="1" x14ac:dyDescent="0.25">
      <c r="A123" s="4"/>
      <c r="B123" s="4"/>
      <c r="C123" s="4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5"/>
      <c r="O123" s="5"/>
      <c r="P123" s="5"/>
    </row>
    <row r="124" spans="1:16" ht="15.75" customHeight="1" x14ac:dyDescent="0.25">
      <c r="A124" s="4"/>
      <c r="B124" s="4"/>
      <c r="C124" s="4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5"/>
      <c r="O124" s="5"/>
      <c r="P124" s="5"/>
    </row>
    <row r="125" spans="1:16" ht="15.75" customHeight="1" x14ac:dyDescent="0.25">
      <c r="A125" s="4"/>
      <c r="B125" s="4"/>
      <c r="C125" s="4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5"/>
      <c r="O125" s="5"/>
      <c r="P125" s="5"/>
    </row>
    <row r="126" spans="1:16" ht="15.75" customHeight="1" x14ac:dyDescent="0.25">
      <c r="A126" s="4"/>
      <c r="B126" s="4"/>
      <c r="C126" s="4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5"/>
      <c r="O126" s="5"/>
      <c r="P126" s="5"/>
    </row>
    <row r="127" spans="1:16" ht="15.75" customHeight="1" x14ac:dyDescent="0.25">
      <c r="A127" s="4"/>
      <c r="B127" s="4"/>
      <c r="C127" s="4"/>
      <c r="D127" s="4"/>
      <c r="E127" s="4"/>
      <c r="F127" s="4"/>
      <c r="G127" s="4"/>
      <c r="H127" s="5"/>
      <c r="I127" s="4"/>
      <c r="J127" s="4"/>
      <c r="K127" s="4"/>
      <c r="L127" s="4"/>
      <c r="M127" s="4"/>
      <c r="N127" s="5"/>
      <c r="O127" s="5"/>
      <c r="P127" s="5"/>
    </row>
    <row r="128" spans="1:16" ht="15.75" customHeight="1" x14ac:dyDescent="0.25">
      <c r="A128" s="4"/>
      <c r="B128" s="4"/>
      <c r="C128" s="4"/>
      <c r="D128" s="4"/>
      <c r="E128" s="4"/>
      <c r="F128" s="4"/>
      <c r="G128" s="4"/>
      <c r="H128" s="5"/>
      <c r="I128" s="4"/>
      <c r="J128" s="4"/>
      <c r="K128" s="4"/>
      <c r="L128" s="4"/>
      <c r="M128" s="4"/>
      <c r="N128" s="5"/>
      <c r="O128" s="5"/>
      <c r="P128" s="5"/>
    </row>
    <row r="129" spans="1:16" ht="15.75" customHeight="1" x14ac:dyDescent="0.25">
      <c r="A129" s="4"/>
      <c r="B129" s="4"/>
      <c r="C129" s="4"/>
      <c r="D129" s="4"/>
      <c r="E129" s="4"/>
      <c r="F129" s="4"/>
      <c r="G129" s="4"/>
      <c r="H129" s="5"/>
      <c r="I129" s="4"/>
      <c r="J129" s="4"/>
      <c r="K129" s="4"/>
      <c r="L129" s="4"/>
      <c r="M129" s="4"/>
      <c r="N129" s="5"/>
      <c r="O129" s="5"/>
      <c r="P129" s="5"/>
    </row>
    <row r="130" spans="1:16" ht="15.75" customHeight="1" x14ac:dyDescent="0.25">
      <c r="A130" s="4"/>
      <c r="B130" s="4"/>
      <c r="C130" s="4"/>
      <c r="D130" s="4"/>
      <c r="E130" s="4"/>
      <c r="F130" s="4"/>
      <c r="G130" s="4"/>
      <c r="H130" s="5"/>
      <c r="I130" s="4"/>
      <c r="J130" s="4"/>
      <c r="K130" s="4"/>
      <c r="L130" s="4"/>
      <c r="M130" s="4"/>
      <c r="N130" s="5"/>
      <c r="O130" s="5"/>
      <c r="P130" s="5"/>
    </row>
    <row r="131" spans="1:16" ht="15.75" customHeight="1" x14ac:dyDescent="0.25">
      <c r="A131" s="4"/>
      <c r="B131" s="4"/>
      <c r="C131" s="4"/>
      <c r="D131" s="4"/>
      <c r="E131" s="4"/>
      <c r="F131" s="4"/>
      <c r="G131" s="4"/>
      <c r="H131" s="5"/>
      <c r="I131" s="4"/>
      <c r="J131" s="4"/>
      <c r="K131" s="4"/>
      <c r="L131" s="4"/>
      <c r="M131" s="4"/>
      <c r="N131" s="5"/>
      <c r="O131" s="5"/>
      <c r="P131" s="5"/>
    </row>
    <row r="132" spans="1:16" ht="15.75" customHeight="1" x14ac:dyDescent="0.25">
      <c r="A132" s="4"/>
      <c r="B132" s="4"/>
      <c r="C132" s="4"/>
      <c r="D132" s="4"/>
      <c r="E132" s="4"/>
      <c r="F132" s="4"/>
      <c r="G132" s="4"/>
      <c r="H132" s="5"/>
      <c r="I132" s="4"/>
      <c r="J132" s="4"/>
      <c r="K132" s="4"/>
      <c r="L132" s="4"/>
      <c r="M132" s="4"/>
      <c r="N132" s="5"/>
      <c r="O132" s="5"/>
      <c r="P132" s="5"/>
    </row>
    <row r="133" spans="1:16" ht="15.75" customHeight="1" x14ac:dyDescent="0.25">
      <c r="A133" s="4"/>
      <c r="B133" s="4"/>
      <c r="C133" s="4"/>
      <c r="D133" s="4"/>
      <c r="E133" s="4"/>
      <c r="F133" s="4"/>
      <c r="G133" s="4"/>
      <c r="H133" s="5"/>
      <c r="I133" s="4"/>
      <c r="J133" s="4"/>
      <c r="K133" s="4"/>
      <c r="L133" s="4"/>
      <c r="M133" s="4"/>
      <c r="N133" s="5"/>
      <c r="O133" s="5"/>
      <c r="P133" s="5"/>
    </row>
    <row r="134" spans="1:16" ht="15.75" customHeight="1" x14ac:dyDescent="0.25">
      <c r="A134" s="4"/>
      <c r="B134" s="4"/>
      <c r="C134" s="4"/>
      <c r="D134" s="4"/>
      <c r="E134" s="4"/>
      <c r="F134" s="4"/>
      <c r="G134" s="4"/>
      <c r="H134" s="5"/>
      <c r="I134" s="4"/>
      <c r="J134" s="4"/>
      <c r="K134" s="4"/>
      <c r="L134" s="4"/>
      <c r="M134" s="4"/>
      <c r="N134" s="5"/>
      <c r="O134" s="5"/>
      <c r="P134" s="5"/>
    </row>
    <row r="135" spans="1:16" ht="15.75" customHeight="1" x14ac:dyDescent="0.25">
      <c r="A135" s="4"/>
      <c r="B135" s="4"/>
      <c r="C135" s="4"/>
      <c r="D135" s="4"/>
      <c r="E135" s="4"/>
      <c r="F135" s="4"/>
      <c r="G135" s="4"/>
      <c r="H135" s="5"/>
      <c r="I135" s="4"/>
      <c r="J135" s="4"/>
      <c r="K135" s="4"/>
      <c r="L135" s="4"/>
      <c r="M135" s="4"/>
      <c r="N135" s="5"/>
      <c r="O135" s="5"/>
      <c r="P135" s="5"/>
    </row>
    <row r="136" spans="1:16" ht="15.75" customHeight="1" x14ac:dyDescent="0.25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5"/>
      <c r="O136" s="5"/>
      <c r="P136" s="5"/>
    </row>
    <row r="137" spans="1:16" ht="15.75" customHeight="1" x14ac:dyDescent="0.25">
      <c r="A137" s="4"/>
      <c r="B137" s="4"/>
      <c r="C137" s="4"/>
      <c r="D137" s="4"/>
      <c r="E137" s="4"/>
      <c r="F137" s="4"/>
      <c r="G137" s="4"/>
      <c r="H137" s="5"/>
      <c r="I137" s="4"/>
      <c r="J137" s="4"/>
      <c r="K137" s="4"/>
      <c r="L137" s="4"/>
      <c r="M137" s="4"/>
      <c r="N137" s="5"/>
      <c r="O137" s="5"/>
      <c r="P137" s="5"/>
    </row>
    <row r="138" spans="1:16" ht="15.75" customHeight="1" x14ac:dyDescent="0.25">
      <c r="A138" s="4"/>
      <c r="B138" s="4"/>
      <c r="C138" s="4"/>
      <c r="D138" s="4"/>
      <c r="E138" s="4"/>
      <c r="F138" s="4"/>
      <c r="G138" s="4"/>
      <c r="H138" s="5"/>
      <c r="I138" s="4"/>
      <c r="J138" s="4"/>
      <c r="K138" s="4"/>
      <c r="L138" s="4"/>
      <c r="M138" s="4"/>
      <c r="N138" s="5"/>
      <c r="O138" s="5"/>
      <c r="P138" s="5"/>
    </row>
    <row r="139" spans="1:16" ht="15.75" customHeight="1" x14ac:dyDescent="0.25">
      <c r="A139" s="4"/>
      <c r="B139" s="4"/>
      <c r="C139" s="4"/>
      <c r="D139" s="4"/>
      <c r="E139" s="4"/>
      <c r="F139" s="4"/>
      <c r="G139" s="4"/>
      <c r="H139" s="5"/>
      <c r="I139" s="4"/>
      <c r="J139" s="4"/>
      <c r="K139" s="4"/>
      <c r="L139" s="4"/>
      <c r="M139" s="4"/>
      <c r="N139" s="5"/>
      <c r="O139" s="5"/>
      <c r="P139" s="5"/>
    </row>
    <row r="140" spans="1:16" ht="15.75" customHeight="1" x14ac:dyDescent="0.25">
      <c r="A140" s="4"/>
      <c r="B140" s="4"/>
      <c r="C140" s="4"/>
      <c r="D140" s="4"/>
      <c r="E140" s="4"/>
      <c r="F140" s="4"/>
      <c r="G140" s="4"/>
      <c r="H140" s="5"/>
      <c r="I140" s="4"/>
      <c r="J140" s="4"/>
      <c r="K140" s="4"/>
      <c r="L140" s="4"/>
      <c r="M140" s="4"/>
      <c r="N140" s="5"/>
      <c r="O140" s="5"/>
      <c r="P140" s="5"/>
    </row>
    <row r="141" spans="1:16" ht="15.75" customHeight="1" x14ac:dyDescent="0.25">
      <c r="A141" s="4"/>
      <c r="B141" s="4"/>
      <c r="C141" s="4"/>
      <c r="D141" s="4"/>
      <c r="E141" s="4"/>
      <c r="F141" s="4"/>
      <c r="G141" s="4"/>
      <c r="H141" s="5"/>
      <c r="I141" s="4"/>
      <c r="J141" s="4"/>
      <c r="K141" s="4"/>
      <c r="L141" s="4"/>
      <c r="M141" s="4"/>
      <c r="N141" s="5"/>
      <c r="O141" s="5"/>
      <c r="P141" s="5"/>
    </row>
    <row r="142" spans="1:16" ht="15.75" customHeight="1" x14ac:dyDescent="0.25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4"/>
      <c r="M142" s="4"/>
      <c r="N142" s="5"/>
      <c r="O142" s="5"/>
      <c r="P142" s="5"/>
    </row>
    <row r="143" spans="1:16" ht="15.75" customHeight="1" x14ac:dyDescent="0.25">
      <c r="A143" s="4"/>
      <c r="B143" s="4"/>
      <c r="C143" s="4"/>
      <c r="D143" s="4"/>
      <c r="E143" s="4"/>
      <c r="F143" s="4"/>
      <c r="G143" s="4"/>
      <c r="H143" s="5"/>
      <c r="I143" s="4"/>
      <c r="J143" s="4"/>
      <c r="K143" s="4"/>
      <c r="L143" s="4"/>
      <c r="M143" s="4"/>
      <c r="N143" s="5"/>
      <c r="O143" s="5"/>
      <c r="P143" s="5"/>
    </row>
    <row r="144" spans="1:16" ht="15.75" customHeight="1" x14ac:dyDescent="0.25">
      <c r="A144" s="4"/>
      <c r="B144" s="4"/>
      <c r="C144" s="4"/>
      <c r="D144" s="4"/>
      <c r="E144" s="4"/>
      <c r="F144" s="4"/>
      <c r="G144" s="4"/>
      <c r="H144" s="5"/>
      <c r="I144" s="4"/>
      <c r="J144" s="4"/>
      <c r="K144" s="4"/>
      <c r="L144" s="4"/>
      <c r="M144" s="4"/>
      <c r="N144" s="5"/>
      <c r="O144" s="5"/>
      <c r="P144" s="5"/>
    </row>
    <row r="145" spans="1:16" ht="15.75" customHeight="1" x14ac:dyDescent="0.25">
      <c r="A145" s="4"/>
      <c r="B145" s="4"/>
      <c r="C145" s="4"/>
      <c r="D145" s="4"/>
      <c r="E145" s="4"/>
      <c r="F145" s="4"/>
      <c r="G145" s="4"/>
      <c r="H145" s="5"/>
      <c r="I145" s="4"/>
      <c r="J145" s="4"/>
      <c r="K145" s="4"/>
      <c r="L145" s="4"/>
      <c r="M145" s="4"/>
      <c r="N145" s="5"/>
      <c r="O145" s="5"/>
      <c r="P145" s="5"/>
    </row>
    <row r="146" spans="1:16" ht="15.75" customHeight="1" x14ac:dyDescent="0.25">
      <c r="A146" s="4"/>
      <c r="B146" s="4"/>
      <c r="C146" s="4"/>
      <c r="D146" s="4"/>
      <c r="E146" s="4"/>
      <c r="F146" s="4"/>
      <c r="G146" s="4"/>
      <c r="H146" s="5"/>
      <c r="I146" s="4"/>
      <c r="J146" s="4"/>
      <c r="K146" s="4"/>
      <c r="L146" s="4"/>
      <c r="M146" s="4"/>
      <c r="N146" s="5"/>
      <c r="O146" s="5"/>
      <c r="P146" s="5"/>
    </row>
    <row r="147" spans="1:16" ht="15.75" customHeight="1" x14ac:dyDescent="0.25">
      <c r="A147" s="4"/>
      <c r="B147" s="4"/>
      <c r="C147" s="4"/>
      <c r="D147" s="4"/>
      <c r="E147" s="4"/>
      <c r="F147" s="4"/>
      <c r="G147" s="4"/>
      <c r="H147" s="5"/>
      <c r="I147" s="4"/>
      <c r="J147" s="4"/>
      <c r="K147" s="4"/>
      <c r="L147" s="4"/>
      <c r="M147" s="4"/>
      <c r="N147" s="5"/>
      <c r="O147" s="5"/>
      <c r="P147" s="5"/>
    </row>
    <row r="148" spans="1:16" ht="15.75" customHeight="1" x14ac:dyDescent="0.25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5"/>
      <c r="O148" s="5"/>
      <c r="P148" s="5"/>
    </row>
    <row r="149" spans="1:16" ht="15.75" customHeight="1" x14ac:dyDescent="0.25">
      <c r="A149" s="4"/>
      <c r="B149" s="4"/>
      <c r="C149" s="4"/>
      <c r="D149" s="4"/>
      <c r="E149" s="4"/>
      <c r="F149" s="4"/>
      <c r="G149" s="4"/>
      <c r="H149" s="5"/>
      <c r="I149" s="4"/>
      <c r="J149" s="4"/>
      <c r="K149" s="4"/>
      <c r="L149" s="4"/>
      <c r="M149" s="4"/>
      <c r="N149" s="5"/>
      <c r="O149" s="5"/>
      <c r="P149" s="5"/>
    </row>
    <row r="150" spans="1:16" ht="15.75" customHeight="1" x14ac:dyDescent="0.25">
      <c r="A150" s="4"/>
      <c r="B150" s="4"/>
      <c r="C150" s="4"/>
      <c r="D150" s="4"/>
      <c r="E150" s="4"/>
      <c r="F150" s="4"/>
      <c r="G150" s="4"/>
      <c r="H150" s="5"/>
      <c r="I150" s="4"/>
      <c r="J150" s="4"/>
      <c r="K150" s="4"/>
      <c r="L150" s="4"/>
      <c r="M150" s="4"/>
      <c r="N150" s="5"/>
      <c r="O150" s="5"/>
      <c r="P150" s="5"/>
    </row>
    <row r="151" spans="1:16" ht="15.75" customHeight="1" x14ac:dyDescent="0.25">
      <c r="A151" s="4"/>
      <c r="B151" s="4"/>
      <c r="C151" s="4"/>
      <c r="D151" s="4"/>
      <c r="E151" s="4"/>
      <c r="F151" s="4"/>
      <c r="G151" s="4"/>
      <c r="H151" s="5"/>
      <c r="I151" s="4"/>
      <c r="J151" s="4"/>
      <c r="K151" s="4"/>
      <c r="L151" s="4"/>
      <c r="M151" s="4"/>
      <c r="N151" s="5"/>
      <c r="O151" s="5"/>
      <c r="P151" s="5"/>
    </row>
    <row r="152" spans="1:16" ht="15.75" customHeight="1" x14ac:dyDescent="0.25">
      <c r="A152" s="4"/>
      <c r="B152" s="4"/>
      <c r="C152" s="4"/>
      <c r="D152" s="4"/>
      <c r="E152" s="4"/>
      <c r="F152" s="4"/>
      <c r="G152" s="4"/>
      <c r="H152" s="5"/>
      <c r="I152" s="4"/>
      <c r="J152" s="4"/>
      <c r="K152" s="4"/>
      <c r="L152" s="4"/>
      <c r="M152" s="4"/>
      <c r="N152" s="5"/>
      <c r="O152" s="5"/>
      <c r="P152" s="5"/>
    </row>
    <row r="153" spans="1:16" ht="15.75" customHeight="1" x14ac:dyDescent="0.25">
      <c r="A153" s="4"/>
      <c r="B153" s="4"/>
      <c r="C153" s="4"/>
      <c r="D153" s="4"/>
      <c r="E153" s="4"/>
      <c r="F153" s="4"/>
      <c r="G153" s="4"/>
      <c r="H153" s="5"/>
      <c r="I153" s="4"/>
      <c r="J153" s="4"/>
      <c r="K153" s="4"/>
      <c r="L153" s="4"/>
      <c r="M153" s="4"/>
      <c r="N153" s="5"/>
      <c r="O153" s="5"/>
      <c r="P153" s="5"/>
    </row>
    <row r="154" spans="1:16" ht="15.75" customHeight="1" x14ac:dyDescent="0.25">
      <c r="A154" s="4"/>
      <c r="B154" s="4"/>
      <c r="C154" s="4"/>
      <c r="D154" s="4"/>
      <c r="E154" s="4"/>
      <c r="F154" s="4"/>
      <c r="G154" s="4"/>
      <c r="H154" s="5"/>
      <c r="I154" s="4"/>
      <c r="J154" s="4"/>
      <c r="K154" s="4"/>
      <c r="L154" s="4"/>
      <c r="M154" s="4"/>
      <c r="N154" s="5"/>
      <c r="O154" s="5"/>
      <c r="P154" s="5"/>
    </row>
    <row r="155" spans="1:16" ht="15.75" customHeight="1" x14ac:dyDescent="0.25">
      <c r="A155" s="4"/>
      <c r="B155" s="4"/>
      <c r="C155" s="4"/>
      <c r="D155" s="4"/>
      <c r="E155" s="4"/>
      <c r="F155" s="4"/>
      <c r="G155" s="4"/>
      <c r="H155" s="5"/>
      <c r="I155" s="4"/>
      <c r="J155" s="4"/>
      <c r="K155" s="4"/>
      <c r="L155" s="4"/>
      <c r="M155" s="4"/>
      <c r="N155" s="5"/>
      <c r="O155" s="5"/>
      <c r="P155" s="5"/>
    </row>
    <row r="156" spans="1:16" ht="15.75" customHeight="1" x14ac:dyDescent="0.25">
      <c r="A156" s="4"/>
      <c r="B156" s="4"/>
      <c r="C156" s="4"/>
      <c r="D156" s="4"/>
      <c r="E156" s="4"/>
      <c r="F156" s="4"/>
      <c r="G156" s="4"/>
      <c r="H156" s="5"/>
      <c r="I156" s="4"/>
      <c r="J156" s="4"/>
      <c r="K156" s="4"/>
      <c r="L156" s="4"/>
      <c r="M156" s="4"/>
      <c r="N156" s="5"/>
      <c r="O156" s="5"/>
      <c r="P156" s="5"/>
    </row>
    <row r="157" spans="1:16" ht="15.75" customHeight="1" x14ac:dyDescent="0.25">
      <c r="A157" s="4"/>
      <c r="B157" s="4"/>
      <c r="C157" s="4"/>
      <c r="D157" s="4"/>
      <c r="E157" s="4"/>
      <c r="F157" s="4"/>
      <c r="G157" s="4"/>
      <c r="H157" s="5"/>
      <c r="I157" s="4"/>
      <c r="J157" s="4"/>
      <c r="K157" s="4"/>
      <c r="L157" s="4"/>
      <c r="M157" s="4"/>
      <c r="N157" s="5"/>
      <c r="O157" s="5"/>
      <c r="P157" s="5"/>
    </row>
    <row r="158" spans="1:16" ht="15.75" customHeight="1" x14ac:dyDescent="0.25">
      <c r="A158" s="4"/>
      <c r="B158" s="4"/>
      <c r="C158" s="4"/>
      <c r="D158" s="4"/>
      <c r="E158" s="4"/>
      <c r="F158" s="4"/>
      <c r="G158" s="4"/>
      <c r="H158" s="5"/>
      <c r="I158" s="4"/>
      <c r="J158" s="4"/>
      <c r="K158" s="4"/>
      <c r="L158" s="4"/>
      <c r="M158" s="4"/>
      <c r="N158" s="5"/>
      <c r="O158" s="5"/>
      <c r="P158" s="5"/>
    </row>
    <row r="159" spans="1:16" ht="15.75" customHeight="1" x14ac:dyDescent="0.25">
      <c r="A159" s="4"/>
      <c r="B159" s="4"/>
      <c r="C159" s="4"/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5"/>
      <c r="O159" s="5"/>
      <c r="P159" s="5"/>
    </row>
    <row r="160" spans="1:16" ht="15.75" customHeight="1" x14ac:dyDescent="0.25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5"/>
      <c r="O160" s="5"/>
      <c r="P160" s="5"/>
    </row>
    <row r="161" spans="1:16" ht="15.75" customHeight="1" x14ac:dyDescent="0.25">
      <c r="A161" s="4"/>
      <c r="B161" s="4"/>
      <c r="C161" s="4"/>
      <c r="D161" s="4"/>
      <c r="E161" s="4"/>
      <c r="F161" s="4"/>
      <c r="G161" s="4"/>
      <c r="H161" s="5"/>
      <c r="I161" s="4"/>
      <c r="J161" s="4"/>
      <c r="K161" s="4"/>
      <c r="L161" s="4"/>
      <c r="M161" s="4"/>
      <c r="N161" s="5"/>
      <c r="O161" s="5"/>
      <c r="P161" s="5"/>
    </row>
    <row r="162" spans="1:16" ht="15.75" customHeight="1" x14ac:dyDescent="0.25">
      <c r="A162" s="4"/>
      <c r="B162" s="4"/>
      <c r="C162" s="4"/>
      <c r="D162" s="4"/>
      <c r="E162" s="4"/>
      <c r="F162" s="4"/>
      <c r="G162" s="4"/>
      <c r="H162" s="5"/>
      <c r="I162" s="4"/>
      <c r="J162" s="4"/>
      <c r="K162" s="4"/>
      <c r="L162" s="4"/>
      <c r="M162" s="4"/>
      <c r="N162" s="5"/>
      <c r="O162" s="5"/>
      <c r="P162" s="5"/>
    </row>
    <row r="163" spans="1:16" ht="15.75" customHeight="1" x14ac:dyDescent="0.25">
      <c r="A163" s="4"/>
      <c r="B163" s="4"/>
      <c r="C163" s="4"/>
      <c r="D163" s="4"/>
      <c r="E163" s="4"/>
      <c r="F163" s="4"/>
      <c r="G163" s="4"/>
      <c r="H163" s="5"/>
      <c r="I163" s="4"/>
      <c r="J163" s="4"/>
      <c r="K163" s="4"/>
      <c r="L163" s="4"/>
      <c r="M163" s="4"/>
      <c r="N163" s="5"/>
      <c r="O163" s="5"/>
      <c r="P163" s="5"/>
    </row>
    <row r="164" spans="1:16" ht="15.75" customHeight="1" x14ac:dyDescent="0.25">
      <c r="A164" s="4"/>
      <c r="B164" s="4"/>
      <c r="C164" s="4"/>
      <c r="D164" s="4"/>
      <c r="E164" s="4"/>
      <c r="F164" s="4"/>
      <c r="G164" s="4"/>
      <c r="H164" s="5"/>
      <c r="I164" s="4"/>
      <c r="J164" s="4"/>
      <c r="K164" s="4"/>
      <c r="L164" s="4"/>
      <c r="M164" s="4"/>
      <c r="N164" s="5"/>
      <c r="O164" s="5"/>
      <c r="P164" s="5"/>
    </row>
    <row r="165" spans="1:16" ht="15.75" customHeight="1" x14ac:dyDescent="0.25">
      <c r="A165" s="4"/>
      <c r="B165" s="4"/>
      <c r="C165" s="4"/>
      <c r="D165" s="4"/>
      <c r="E165" s="4"/>
      <c r="F165" s="4"/>
      <c r="G165" s="4"/>
      <c r="H165" s="5"/>
      <c r="I165" s="4"/>
      <c r="J165" s="4"/>
      <c r="K165" s="4"/>
      <c r="L165" s="4"/>
      <c r="M165" s="4"/>
      <c r="N165" s="5"/>
      <c r="O165" s="5"/>
      <c r="P165" s="5"/>
    </row>
    <row r="166" spans="1:16" ht="15.75" customHeight="1" x14ac:dyDescent="0.25">
      <c r="A166" s="4"/>
      <c r="B166" s="4"/>
      <c r="C166" s="4"/>
      <c r="D166" s="4"/>
      <c r="E166" s="4"/>
      <c r="F166" s="4"/>
      <c r="G166" s="4"/>
      <c r="H166" s="5"/>
      <c r="I166" s="4"/>
      <c r="J166" s="4"/>
      <c r="K166" s="4"/>
      <c r="L166" s="4"/>
      <c r="M166" s="4"/>
      <c r="N166" s="5"/>
      <c r="O166" s="5"/>
      <c r="P166" s="5"/>
    </row>
    <row r="167" spans="1:16" ht="15.75" customHeight="1" x14ac:dyDescent="0.25">
      <c r="A167" s="4"/>
      <c r="B167" s="4"/>
      <c r="C167" s="4"/>
      <c r="D167" s="4"/>
      <c r="E167" s="4"/>
      <c r="F167" s="4"/>
      <c r="G167" s="4"/>
      <c r="H167" s="5"/>
      <c r="I167" s="4"/>
      <c r="J167" s="4"/>
      <c r="K167" s="4"/>
      <c r="L167" s="4"/>
      <c r="M167" s="4"/>
      <c r="N167" s="5"/>
      <c r="O167" s="5"/>
      <c r="P167" s="5"/>
    </row>
    <row r="168" spans="1:16" ht="15.75" customHeight="1" x14ac:dyDescent="0.25">
      <c r="A168" s="4"/>
      <c r="B168" s="4"/>
      <c r="C168" s="4"/>
      <c r="D168" s="4"/>
      <c r="E168" s="4"/>
      <c r="F168" s="4"/>
      <c r="G168" s="4"/>
      <c r="H168" s="5"/>
      <c r="I168" s="4"/>
      <c r="J168" s="4"/>
      <c r="K168" s="4"/>
      <c r="L168" s="4"/>
      <c r="M168" s="4"/>
      <c r="N168" s="5"/>
      <c r="O168" s="5"/>
      <c r="P168" s="5"/>
    </row>
    <row r="169" spans="1:16" ht="15.75" customHeight="1" x14ac:dyDescent="0.25">
      <c r="A169" s="4"/>
      <c r="B169" s="4"/>
      <c r="C169" s="4"/>
      <c r="D169" s="4"/>
      <c r="E169" s="4"/>
      <c r="F169" s="4"/>
      <c r="G169" s="4"/>
      <c r="H169" s="5"/>
      <c r="I169" s="4"/>
      <c r="J169" s="4"/>
      <c r="K169" s="4"/>
      <c r="L169" s="4"/>
      <c r="M169" s="4"/>
      <c r="N169" s="5"/>
      <c r="O169" s="5"/>
      <c r="P169" s="5"/>
    </row>
    <row r="170" spans="1:16" ht="15.75" customHeight="1" x14ac:dyDescent="0.25">
      <c r="A170" s="4"/>
      <c r="B170" s="4"/>
      <c r="C170" s="4"/>
      <c r="D170" s="4"/>
      <c r="E170" s="4"/>
      <c r="F170" s="4"/>
      <c r="G170" s="4"/>
      <c r="H170" s="5"/>
      <c r="I170" s="4"/>
      <c r="J170" s="4"/>
      <c r="K170" s="4"/>
      <c r="L170" s="4"/>
      <c r="M170" s="4"/>
      <c r="N170" s="5"/>
      <c r="O170" s="5"/>
      <c r="P170" s="5"/>
    </row>
    <row r="171" spans="1:16" ht="15.75" customHeight="1" x14ac:dyDescent="0.25">
      <c r="A171" s="4"/>
      <c r="B171" s="4"/>
      <c r="C171" s="4"/>
      <c r="D171" s="4"/>
      <c r="E171" s="4"/>
      <c r="F171" s="4"/>
      <c r="G171" s="4"/>
      <c r="H171" s="5"/>
      <c r="I171" s="4"/>
      <c r="J171" s="4"/>
      <c r="K171" s="4"/>
      <c r="L171" s="4"/>
      <c r="M171" s="4"/>
      <c r="N171" s="5"/>
      <c r="O171" s="5"/>
      <c r="P171" s="5"/>
    </row>
    <row r="172" spans="1:16" ht="15.75" customHeight="1" x14ac:dyDescent="0.25">
      <c r="A172" s="4"/>
      <c r="B172" s="4"/>
      <c r="C172" s="4"/>
      <c r="D172" s="4"/>
      <c r="E172" s="4"/>
      <c r="F172" s="4"/>
      <c r="G172" s="4"/>
      <c r="H172" s="5"/>
      <c r="I172" s="4"/>
      <c r="J172" s="4"/>
      <c r="K172" s="4"/>
      <c r="L172" s="4"/>
      <c r="M172" s="4"/>
      <c r="N172" s="5"/>
      <c r="O172" s="5"/>
      <c r="P172" s="5"/>
    </row>
    <row r="173" spans="1:16" ht="15.75" customHeight="1" x14ac:dyDescent="0.25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5"/>
      <c r="O173" s="5"/>
      <c r="P173" s="5"/>
    </row>
    <row r="174" spans="1:16" ht="15.75" customHeight="1" x14ac:dyDescent="0.25">
      <c r="A174" s="4"/>
      <c r="B174" s="4"/>
      <c r="C174" s="4"/>
      <c r="D174" s="4"/>
      <c r="E174" s="4"/>
      <c r="F174" s="4"/>
      <c r="G174" s="4"/>
      <c r="H174" s="5"/>
      <c r="I174" s="4"/>
      <c r="J174" s="4"/>
      <c r="K174" s="4"/>
      <c r="L174" s="4"/>
      <c r="M174" s="4"/>
      <c r="N174" s="5"/>
      <c r="O174" s="5"/>
      <c r="P174" s="5"/>
    </row>
    <row r="175" spans="1:16" ht="15.75" customHeight="1" x14ac:dyDescent="0.25">
      <c r="A175" s="4"/>
      <c r="B175" s="4"/>
      <c r="C175" s="4"/>
      <c r="D175" s="4"/>
      <c r="E175" s="4"/>
      <c r="F175" s="4"/>
      <c r="G175" s="4"/>
      <c r="H175" s="5"/>
      <c r="I175" s="4"/>
      <c r="J175" s="4"/>
      <c r="K175" s="4"/>
      <c r="L175" s="4"/>
      <c r="M175" s="4"/>
      <c r="N175" s="5"/>
      <c r="O175" s="5"/>
      <c r="P175" s="5"/>
    </row>
    <row r="176" spans="1:16" ht="15.75" customHeight="1" x14ac:dyDescent="0.25">
      <c r="A176" s="4"/>
      <c r="B176" s="4"/>
      <c r="C176" s="4"/>
      <c r="D176" s="4"/>
      <c r="E176" s="4"/>
      <c r="F176" s="4"/>
      <c r="G176" s="4"/>
      <c r="H176" s="5"/>
      <c r="I176" s="4"/>
      <c r="J176" s="4"/>
      <c r="K176" s="4"/>
      <c r="L176" s="4"/>
      <c r="M176" s="4"/>
      <c r="N176" s="5"/>
      <c r="O176" s="5"/>
      <c r="P176" s="5"/>
    </row>
    <row r="177" spans="1:16" ht="15.75" customHeight="1" x14ac:dyDescent="0.25">
      <c r="A177" s="4"/>
      <c r="B177" s="4"/>
      <c r="C177" s="4"/>
      <c r="D177" s="4"/>
      <c r="E177" s="4"/>
      <c r="F177" s="4"/>
      <c r="G177" s="4"/>
      <c r="H177" s="5"/>
      <c r="I177" s="4"/>
      <c r="J177" s="4"/>
      <c r="K177" s="4"/>
      <c r="L177" s="4"/>
      <c r="M177" s="4"/>
      <c r="N177" s="5"/>
      <c r="O177" s="5"/>
      <c r="P177" s="5"/>
    </row>
    <row r="178" spans="1:16" ht="15.75" customHeight="1" x14ac:dyDescent="0.25">
      <c r="A178" s="4"/>
      <c r="B178" s="4"/>
      <c r="C178" s="4"/>
      <c r="D178" s="4"/>
      <c r="E178" s="4"/>
      <c r="F178" s="4"/>
      <c r="G178" s="4"/>
      <c r="H178" s="5"/>
      <c r="I178" s="4"/>
      <c r="J178" s="4"/>
      <c r="K178" s="4"/>
      <c r="L178" s="4"/>
      <c r="M178" s="4"/>
      <c r="N178" s="5"/>
      <c r="O178" s="5"/>
      <c r="P178" s="5"/>
    </row>
    <row r="179" spans="1:16" ht="15.75" customHeight="1" x14ac:dyDescent="0.25">
      <c r="A179" s="4"/>
      <c r="B179" s="4"/>
      <c r="C179" s="4"/>
      <c r="D179" s="4"/>
      <c r="E179" s="4"/>
      <c r="F179" s="4"/>
      <c r="G179" s="4"/>
      <c r="H179" s="5"/>
      <c r="I179" s="4"/>
      <c r="J179" s="4"/>
      <c r="K179" s="4"/>
      <c r="L179" s="4"/>
      <c r="M179" s="4"/>
      <c r="N179" s="5"/>
      <c r="O179" s="5"/>
      <c r="P179" s="5"/>
    </row>
    <row r="180" spans="1:16" ht="15.75" customHeight="1" x14ac:dyDescent="0.25">
      <c r="A180" s="4"/>
      <c r="B180" s="4"/>
      <c r="C180" s="4"/>
      <c r="D180" s="4"/>
      <c r="E180" s="4"/>
      <c r="F180" s="4"/>
      <c r="G180" s="4"/>
      <c r="H180" s="5"/>
      <c r="I180" s="4"/>
      <c r="J180" s="4"/>
      <c r="K180" s="4"/>
      <c r="L180" s="4"/>
      <c r="M180" s="4"/>
      <c r="N180" s="5"/>
      <c r="O180" s="5"/>
      <c r="P180" s="5"/>
    </row>
    <row r="181" spans="1:16" ht="15.75" customHeight="1" x14ac:dyDescent="0.25">
      <c r="A181" s="4"/>
      <c r="B181" s="4"/>
      <c r="C181" s="4"/>
      <c r="D181" s="4"/>
      <c r="E181" s="4"/>
      <c r="F181" s="4"/>
      <c r="G181" s="4"/>
      <c r="H181" s="5"/>
      <c r="I181" s="4"/>
      <c r="J181" s="4"/>
      <c r="K181" s="4"/>
      <c r="L181" s="4"/>
      <c r="M181" s="4"/>
      <c r="N181" s="5"/>
      <c r="O181" s="5"/>
      <c r="P181" s="5"/>
    </row>
    <row r="182" spans="1:16" ht="15.75" customHeight="1" x14ac:dyDescent="0.25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5"/>
      <c r="O182" s="5"/>
      <c r="P182" s="5"/>
    </row>
    <row r="183" spans="1:16" ht="15.75" customHeight="1" x14ac:dyDescent="0.25">
      <c r="A183" s="4"/>
      <c r="B183" s="4"/>
      <c r="C183" s="4"/>
      <c r="D183" s="4"/>
      <c r="E183" s="4"/>
      <c r="F183" s="4"/>
      <c r="G183" s="4"/>
      <c r="H183" s="5"/>
      <c r="I183" s="4"/>
      <c r="J183" s="4"/>
      <c r="K183" s="4"/>
      <c r="L183" s="4"/>
      <c r="M183" s="4"/>
      <c r="N183" s="5"/>
      <c r="O183" s="5"/>
      <c r="P183" s="5"/>
    </row>
    <row r="184" spans="1:16" ht="15.75" customHeight="1" x14ac:dyDescent="0.25">
      <c r="A184" s="4"/>
      <c r="B184" s="4"/>
      <c r="C184" s="4"/>
      <c r="D184" s="4"/>
      <c r="E184" s="4"/>
      <c r="F184" s="4"/>
      <c r="G184" s="4"/>
      <c r="H184" s="5"/>
      <c r="I184" s="4"/>
      <c r="J184" s="4"/>
      <c r="K184" s="4"/>
      <c r="L184" s="4"/>
      <c r="M184" s="4"/>
      <c r="N184" s="5"/>
      <c r="O184" s="5"/>
      <c r="P184" s="5"/>
    </row>
    <row r="185" spans="1:16" ht="15.75" customHeight="1" x14ac:dyDescent="0.25">
      <c r="A185" s="4"/>
      <c r="B185" s="4"/>
      <c r="C185" s="4"/>
      <c r="D185" s="4"/>
      <c r="E185" s="4"/>
      <c r="F185" s="4"/>
      <c r="G185" s="4"/>
      <c r="H185" s="5"/>
      <c r="I185" s="4"/>
      <c r="J185" s="4"/>
      <c r="K185" s="4"/>
      <c r="L185" s="4"/>
      <c r="M185" s="4"/>
      <c r="N185" s="5"/>
      <c r="O185" s="5"/>
      <c r="P185" s="5"/>
    </row>
    <row r="186" spans="1:16" ht="15.75" customHeight="1" x14ac:dyDescent="0.25">
      <c r="A186" s="4"/>
      <c r="B186" s="4"/>
      <c r="C186" s="4"/>
      <c r="D186" s="4"/>
      <c r="E186" s="4"/>
      <c r="F186" s="4"/>
      <c r="G186" s="4"/>
      <c r="H186" s="5"/>
      <c r="I186" s="4"/>
      <c r="J186" s="4"/>
      <c r="K186" s="4"/>
      <c r="L186" s="4"/>
      <c r="M186" s="4"/>
      <c r="N186" s="5"/>
      <c r="O186" s="5"/>
      <c r="P186" s="5"/>
    </row>
    <row r="187" spans="1:16" ht="15.75" customHeight="1" x14ac:dyDescent="0.25">
      <c r="A187" s="4"/>
      <c r="B187" s="4"/>
      <c r="C187" s="4"/>
      <c r="D187" s="4"/>
      <c r="E187" s="4"/>
      <c r="F187" s="4"/>
      <c r="G187" s="4"/>
      <c r="H187" s="5"/>
      <c r="I187" s="4"/>
      <c r="J187" s="4"/>
      <c r="K187" s="4"/>
      <c r="L187" s="4"/>
      <c r="M187" s="4"/>
      <c r="N187" s="5"/>
      <c r="O187" s="5"/>
      <c r="P187" s="5"/>
    </row>
    <row r="188" spans="1:16" ht="15.75" customHeight="1" x14ac:dyDescent="0.25">
      <c r="A188" s="4"/>
      <c r="B188" s="4"/>
      <c r="C188" s="4"/>
      <c r="D188" s="4"/>
      <c r="E188" s="4"/>
      <c r="F188" s="4"/>
      <c r="G188" s="4"/>
      <c r="H188" s="5"/>
      <c r="I188" s="4"/>
      <c r="J188" s="4"/>
      <c r="K188" s="4"/>
      <c r="L188" s="4"/>
      <c r="M188" s="4"/>
      <c r="N188" s="5"/>
      <c r="O188" s="5"/>
      <c r="P188" s="5"/>
    </row>
    <row r="189" spans="1:16" ht="15.75" customHeight="1" x14ac:dyDescent="0.25">
      <c r="A189" s="4"/>
      <c r="B189" s="4"/>
      <c r="C189" s="4"/>
      <c r="D189" s="4"/>
      <c r="E189" s="4"/>
      <c r="F189" s="4"/>
      <c r="G189" s="4"/>
      <c r="H189" s="5"/>
      <c r="I189" s="4"/>
      <c r="J189" s="4"/>
      <c r="K189" s="4"/>
      <c r="L189" s="4"/>
      <c r="M189" s="4"/>
      <c r="N189" s="5"/>
      <c r="O189" s="5"/>
      <c r="P189" s="5"/>
    </row>
    <row r="190" spans="1:16" ht="15.75" customHeight="1" x14ac:dyDescent="0.25">
      <c r="A190" s="4"/>
      <c r="B190" s="4"/>
      <c r="C190" s="4"/>
      <c r="D190" s="4"/>
      <c r="E190" s="4"/>
      <c r="F190" s="4"/>
      <c r="G190" s="4"/>
      <c r="H190" s="5"/>
      <c r="I190" s="4"/>
      <c r="J190" s="4"/>
      <c r="K190" s="4"/>
      <c r="L190" s="4"/>
      <c r="M190" s="4"/>
      <c r="N190" s="5"/>
      <c r="O190" s="5"/>
      <c r="P190" s="5"/>
    </row>
    <row r="191" spans="1:16" ht="15.75" customHeight="1" x14ac:dyDescent="0.25">
      <c r="A191" s="4"/>
      <c r="B191" s="4"/>
      <c r="C191" s="4"/>
      <c r="D191" s="4"/>
      <c r="E191" s="4"/>
      <c r="F191" s="4"/>
      <c r="G191" s="4"/>
      <c r="H191" s="5"/>
      <c r="I191" s="4"/>
      <c r="J191" s="4"/>
      <c r="K191" s="4"/>
      <c r="L191" s="4"/>
      <c r="M191" s="4"/>
      <c r="N191" s="5"/>
      <c r="O191" s="5"/>
      <c r="P191" s="5"/>
    </row>
    <row r="192" spans="1:16" ht="15.75" customHeight="1" x14ac:dyDescent="0.25">
      <c r="A192" s="4"/>
      <c r="B192" s="4"/>
      <c r="C192" s="4"/>
      <c r="D192" s="4"/>
      <c r="E192" s="4"/>
      <c r="F192" s="4"/>
      <c r="G192" s="4"/>
      <c r="H192" s="5"/>
      <c r="I192" s="4"/>
      <c r="J192" s="4"/>
      <c r="K192" s="4"/>
      <c r="L192" s="4"/>
      <c r="M192" s="4"/>
      <c r="N192" s="5"/>
      <c r="O192" s="5"/>
      <c r="P192" s="5"/>
    </row>
    <row r="193" spans="1:16" ht="15.75" customHeight="1" x14ac:dyDescent="0.25">
      <c r="A193" s="4"/>
      <c r="B193" s="4"/>
      <c r="C193" s="4"/>
      <c r="D193" s="4"/>
      <c r="E193" s="4"/>
      <c r="F193" s="4"/>
      <c r="G193" s="4"/>
      <c r="H193" s="5"/>
      <c r="I193" s="4"/>
      <c r="J193" s="4"/>
      <c r="K193" s="4"/>
      <c r="L193" s="4"/>
      <c r="M193" s="4"/>
      <c r="N193" s="5"/>
      <c r="O193" s="5"/>
      <c r="P193" s="5"/>
    </row>
    <row r="194" spans="1:16" ht="15.75" customHeight="1" x14ac:dyDescent="0.25">
      <c r="A194" s="4"/>
      <c r="B194" s="4"/>
      <c r="C194" s="4"/>
      <c r="D194" s="4"/>
      <c r="E194" s="4"/>
      <c r="F194" s="4"/>
      <c r="G194" s="4"/>
      <c r="H194" s="5"/>
      <c r="I194" s="4"/>
      <c r="J194" s="4"/>
      <c r="K194" s="4"/>
      <c r="L194" s="4"/>
      <c r="M194" s="4"/>
      <c r="N194" s="5"/>
      <c r="O194" s="5"/>
      <c r="P194" s="5"/>
    </row>
    <row r="195" spans="1:16" ht="15.75" customHeight="1" x14ac:dyDescent="0.25">
      <c r="A195" s="4"/>
      <c r="B195" s="4"/>
      <c r="C195" s="4"/>
      <c r="D195" s="4"/>
      <c r="E195" s="4"/>
      <c r="F195" s="4"/>
      <c r="G195" s="4"/>
      <c r="H195" s="5"/>
      <c r="I195" s="4"/>
      <c r="J195" s="4"/>
      <c r="K195" s="4"/>
      <c r="L195" s="4"/>
      <c r="M195" s="4"/>
      <c r="N195" s="5"/>
      <c r="O195" s="5"/>
      <c r="P195" s="5"/>
    </row>
    <row r="196" spans="1:16" ht="15.75" customHeight="1" x14ac:dyDescent="0.25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5"/>
      <c r="O196" s="5"/>
      <c r="P196" s="5"/>
    </row>
    <row r="197" spans="1:16" ht="15.75" customHeight="1" x14ac:dyDescent="0.25">
      <c r="A197" s="4"/>
      <c r="B197" s="4"/>
      <c r="C197" s="4"/>
      <c r="D197" s="4"/>
      <c r="E197" s="4"/>
      <c r="F197" s="4"/>
      <c r="G197" s="4"/>
      <c r="H197" s="5"/>
      <c r="I197" s="4"/>
      <c r="J197" s="4"/>
      <c r="K197" s="4"/>
      <c r="L197" s="4"/>
      <c r="M197" s="4"/>
      <c r="N197" s="5"/>
      <c r="O197" s="5"/>
      <c r="P197" s="5"/>
    </row>
    <row r="198" spans="1:16" ht="15.75" customHeight="1" x14ac:dyDescent="0.25">
      <c r="A198" s="4"/>
      <c r="B198" s="4"/>
      <c r="C198" s="4"/>
      <c r="D198" s="4"/>
      <c r="E198" s="4"/>
      <c r="F198" s="4"/>
      <c r="G198" s="4"/>
      <c r="H198" s="5"/>
      <c r="I198" s="4"/>
      <c r="J198" s="4"/>
      <c r="K198" s="4"/>
      <c r="L198" s="4"/>
      <c r="M198" s="4"/>
      <c r="N198" s="5"/>
      <c r="O198" s="5"/>
      <c r="P198" s="5"/>
    </row>
    <row r="199" spans="1:16" ht="15.75" customHeight="1" x14ac:dyDescent="0.25">
      <c r="A199" s="4"/>
      <c r="B199" s="4"/>
      <c r="C199" s="4"/>
      <c r="D199" s="4"/>
      <c r="E199" s="4"/>
      <c r="F199" s="4"/>
      <c r="G199" s="4"/>
      <c r="H199" s="5"/>
      <c r="I199" s="4"/>
      <c r="J199" s="4"/>
      <c r="K199" s="4"/>
      <c r="L199" s="4"/>
      <c r="M199" s="4"/>
      <c r="N199" s="5"/>
      <c r="O199" s="5"/>
      <c r="P199" s="5"/>
    </row>
    <row r="200" spans="1:16" ht="15.75" customHeight="1" x14ac:dyDescent="0.25">
      <c r="A200" s="4"/>
      <c r="B200" s="4"/>
      <c r="C200" s="4"/>
      <c r="D200" s="4"/>
      <c r="E200" s="4"/>
      <c r="F200" s="4"/>
      <c r="G200" s="4"/>
      <c r="H200" s="5"/>
      <c r="I200" s="4"/>
      <c r="J200" s="4"/>
      <c r="K200" s="4"/>
      <c r="L200" s="4"/>
      <c r="M200" s="4"/>
      <c r="N200" s="5"/>
      <c r="O200" s="5"/>
      <c r="P200" s="5"/>
    </row>
    <row r="201" spans="1:16" ht="15.75" customHeight="1" x14ac:dyDescent="0.25">
      <c r="A201" s="4"/>
      <c r="B201" s="4"/>
      <c r="C201" s="4"/>
      <c r="D201" s="4"/>
      <c r="E201" s="4"/>
      <c r="F201" s="4"/>
      <c r="G201" s="4"/>
      <c r="H201" s="5"/>
      <c r="I201" s="4"/>
      <c r="J201" s="4"/>
      <c r="K201" s="4"/>
      <c r="L201" s="4"/>
      <c r="M201" s="4"/>
      <c r="N201" s="5"/>
      <c r="O201" s="5"/>
      <c r="P201" s="5"/>
    </row>
    <row r="202" spans="1:16" ht="15.75" customHeight="1" x14ac:dyDescent="0.25">
      <c r="A202" s="4"/>
      <c r="B202" s="4"/>
      <c r="C202" s="4"/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5"/>
      <c r="O202" s="5"/>
      <c r="P202" s="5"/>
    </row>
    <row r="203" spans="1:16" ht="15.75" customHeight="1" x14ac:dyDescent="0.25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5"/>
      <c r="O203" s="5"/>
      <c r="P203" s="5"/>
    </row>
    <row r="204" spans="1:16" ht="15.75" customHeight="1" x14ac:dyDescent="0.25">
      <c r="A204" s="4"/>
      <c r="B204" s="4"/>
      <c r="C204" s="4"/>
      <c r="D204" s="4"/>
      <c r="E204" s="4"/>
      <c r="F204" s="4"/>
      <c r="G204" s="4"/>
      <c r="H204" s="5"/>
      <c r="I204" s="4"/>
      <c r="J204" s="4"/>
      <c r="K204" s="4"/>
      <c r="L204" s="4"/>
      <c r="M204" s="4"/>
      <c r="N204" s="5"/>
      <c r="O204" s="5"/>
      <c r="P204" s="5"/>
    </row>
    <row r="205" spans="1:16" ht="15.75" customHeight="1" x14ac:dyDescent="0.25">
      <c r="A205" s="4"/>
      <c r="B205" s="4"/>
      <c r="C205" s="4"/>
      <c r="D205" s="4"/>
      <c r="E205" s="4"/>
      <c r="F205" s="4"/>
      <c r="G205" s="4"/>
      <c r="H205" s="5"/>
      <c r="I205" s="4"/>
      <c r="J205" s="4"/>
      <c r="K205" s="4"/>
      <c r="L205" s="4"/>
      <c r="M205" s="4"/>
      <c r="N205" s="5"/>
      <c r="O205" s="5"/>
      <c r="P205" s="5"/>
    </row>
    <row r="206" spans="1:16" ht="15.75" customHeight="1" x14ac:dyDescent="0.25">
      <c r="A206" s="4"/>
      <c r="B206" s="4"/>
      <c r="C206" s="4"/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5"/>
      <c r="O206" s="5"/>
      <c r="P206" s="5"/>
    </row>
    <row r="207" spans="1:16" ht="15.75" customHeight="1" x14ac:dyDescent="0.25">
      <c r="A207" s="4"/>
      <c r="B207" s="4"/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5"/>
      <c r="O207" s="5"/>
      <c r="P207" s="5"/>
    </row>
    <row r="208" spans="1:16" ht="15.75" customHeight="1" x14ac:dyDescent="0.25">
      <c r="A208" s="4"/>
      <c r="B208" s="4"/>
      <c r="C208" s="4"/>
      <c r="D208" s="4"/>
      <c r="E208" s="4"/>
      <c r="F208" s="4"/>
      <c r="G208" s="4"/>
      <c r="H208" s="5"/>
      <c r="I208" s="4"/>
      <c r="J208" s="4"/>
      <c r="K208" s="4"/>
      <c r="L208" s="4"/>
      <c r="M208" s="4"/>
      <c r="N208" s="5"/>
      <c r="O208" s="5"/>
      <c r="P208" s="5"/>
    </row>
    <row r="209" spans="1:16" ht="15.75" customHeight="1" x14ac:dyDescent="0.25">
      <c r="A209" s="4"/>
      <c r="B209" s="4"/>
      <c r="C209" s="4"/>
      <c r="D209" s="4"/>
      <c r="E209" s="4"/>
      <c r="F209" s="4"/>
      <c r="G209" s="4"/>
      <c r="H209" s="5"/>
      <c r="I209" s="4"/>
      <c r="J209" s="4"/>
      <c r="K209" s="4"/>
      <c r="L209" s="4"/>
      <c r="M209" s="4"/>
      <c r="N209" s="5"/>
      <c r="O209" s="5"/>
      <c r="P209" s="5"/>
    </row>
    <row r="210" spans="1:16" ht="15.75" customHeight="1" x14ac:dyDescent="0.25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5"/>
      <c r="O210" s="5"/>
      <c r="P210" s="5"/>
    </row>
    <row r="211" spans="1:16" ht="15.75" customHeight="1" x14ac:dyDescent="0.25">
      <c r="A211" s="4"/>
      <c r="B211" s="4"/>
      <c r="C211" s="4"/>
      <c r="D211" s="4"/>
      <c r="E211" s="4"/>
      <c r="F211" s="4"/>
      <c r="G211" s="4"/>
      <c r="H211" s="5"/>
      <c r="I211" s="4"/>
      <c r="J211" s="4"/>
      <c r="K211" s="4"/>
      <c r="L211" s="4"/>
      <c r="M211" s="4"/>
      <c r="N211" s="5"/>
      <c r="O211" s="5"/>
      <c r="P211" s="5"/>
    </row>
    <row r="212" spans="1:16" ht="15.75" customHeight="1" x14ac:dyDescent="0.25">
      <c r="A212" s="4"/>
      <c r="B212" s="4"/>
      <c r="C212" s="4"/>
      <c r="D212" s="4"/>
      <c r="E212" s="4"/>
      <c r="F212" s="4"/>
      <c r="G212" s="4"/>
      <c r="H212" s="5"/>
      <c r="I212" s="4"/>
      <c r="J212" s="4"/>
      <c r="K212" s="4"/>
      <c r="L212" s="4"/>
      <c r="M212" s="4"/>
      <c r="N212" s="5"/>
      <c r="O212" s="5"/>
      <c r="P212" s="5"/>
    </row>
    <row r="213" spans="1:16" ht="15.75" customHeight="1" x14ac:dyDescent="0.25">
      <c r="A213" s="4"/>
      <c r="B213" s="4"/>
      <c r="C213" s="4"/>
      <c r="D213" s="4"/>
      <c r="E213" s="4"/>
      <c r="F213" s="4"/>
      <c r="G213" s="4"/>
      <c r="H213" s="5"/>
      <c r="I213" s="4"/>
      <c r="J213" s="4"/>
      <c r="K213" s="4"/>
      <c r="L213" s="4"/>
      <c r="M213" s="4"/>
      <c r="N213" s="5"/>
      <c r="O213" s="5"/>
      <c r="P213" s="5"/>
    </row>
    <row r="214" spans="1:16" ht="15.75" customHeight="1" x14ac:dyDescent="0.25">
      <c r="A214" s="4"/>
      <c r="B214" s="4"/>
      <c r="C214" s="4"/>
      <c r="D214" s="4"/>
      <c r="E214" s="4"/>
      <c r="F214" s="4"/>
      <c r="G214" s="4"/>
      <c r="H214" s="5"/>
      <c r="I214" s="4"/>
      <c r="J214" s="4"/>
      <c r="K214" s="4"/>
      <c r="L214" s="4"/>
      <c r="M214" s="4"/>
      <c r="N214" s="5"/>
      <c r="O214" s="5"/>
      <c r="P214" s="5"/>
    </row>
    <row r="215" spans="1:16" ht="15.75" customHeight="1" x14ac:dyDescent="0.25">
      <c r="A215" s="4"/>
      <c r="B215" s="4"/>
      <c r="C215" s="4"/>
      <c r="D215" s="4"/>
      <c r="E215" s="4"/>
      <c r="F215" s="4"/>
      <c r="G215" s="4"/>
      <c r="H215" s="5"/>
      <c r="I215" s="4"/>
      <c r="J215" s="4"/>
      <c r="K215" s="4"/>
      <c r="L215" s="4"/>
      <c r="M215" s="4"/>
      <c r="N215" s="5"/>
      <c r="O215" s="5"/>
      <c r="P215" s="5"/>
    </row>
    <row r="216" spans="1: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</sheetData>
  <sortState xmlns:xlrd2="http://schemas.microsoft.com/office/spreadsheetml/2017/richdata2" ref="A2:E101">
    <sortCondition ref="A1:A101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42FE-2C8D-4611-8E5C-6AC4A5EAFFCF}">
  <dimension ref="A1:C6"/>
  <sheetViews>
    <sheetView workbookViewId="0">
      <selection activeCell="D9" sqref="D9"/>
    </sheetView>
  </sheetViews>
  <sheetFormatPr baseColWidth="10" defaultRowHeight="15" x14ac:dyDescent="0.25"/>
  <sheetData>
    <row r="1" spans="1:3" x14ac:dyDescent="0.25">
      <c r="A1" s="9" t="s">
        <v>221</v>
      </c>
      <c r="B1" s="9" t="s">
        <v>291</v>
      </c>
      <c r="C1" s="9" t="s">
        <v>290</v>
      </c>
    </row>
    <row r="2" spans="1:3" x14ac:dyDescent="0.25">
      <c r="A2">
        <v>1</v>
      </c>
      <c r="B2" t="s">
        <v>292</v>
      </c>
      <c r="C2">
        <f>COUNTIF(cat,1)</f>
        <v>50</v>
      </c>
    </row>
    <row r="3" spans="1:3" x14ac:dyDescent="0.25">
      <c r="A3">
        <v>2</v>
      </c>
      <c r="B3" t="s">
        <v>293</v>
      </c>
      <c r="C3">
        <f>COUNTIF(cat,2)</f>
        <v>30</v>
      </c>
    </row>
    <row r="4" spans="1:3" x14ac:dyDescent="0.25">
      <c r="A4">
        <v>3</v>
      </c>
      <c r="B4" t="s">
        <v>294</v>
      </c>
      <c r="C4">
        <f>COUNTIF(cat,3)</f>
        <v>7</v>
      </c>
    </row>
    <row r="5" spans="1:3" x14ac:dyDescent="0.25">
      <c r="A5">
        <v>4</v>
      </c>
      <c r="B5" t="s">
        <v>297</v>
      </c>
      <c r="C5">
        <f>COUNTIF(cat,4)</f>
        <v>6</v>
      </c>
    </row>
    <row r="6" spans="1:3" x14ac:dyDescent="0.25">
      <c r="A6">
        <v>5</v>
      </c>
      <c r="B6" t="s">
        <v>295</v>
      </c>
      <c r="C6">
        <f>COUNTIF(cat,5)</f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categorization</vt:lpstr>
      <vt:lpstr>categories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Külpmann</cp:lastModifiedBy>
  <dcterms:modified xsi:type="dcterms:W3CDTF">2024-08-03T11:40:20Z</dcterms:modified>
</cp:coreProperties>
</file>