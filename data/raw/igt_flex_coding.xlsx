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mc:AlternateContent xmlns:mc="http://schemas.openxmlformats.org/markup-compatibility/2006">
    <mc:Choice Requires="x15">
      <x15ac:absPath xmlns:x15ac="http://schemas.microsoft.com/office/spreadsheetml/2010/11/ac" url="C:\Users\Annika\Documents\01_STUDIUM\BACHELORTHESIS\IGT_Coding\Data\"/>
    </mc:Choice>
  </mc:AlternateContent>
  <xr:revisionPtr revIDLastSave="0" documentId="13_ncr:1_{D9B09724-BA3B-4D52-8616-2E08B9532297}" xr6:coauthVersionLast="47" xr6:coauthVersionMax="47" xr10:uidLastSave="{00000000-0000-0000-0000-000000000000}"/>
  <bookViews>
    <workbookView xWindow="-120" yWindow="-120" windowWidth="20730" windowHeight="11160" xr2:uid="{59F4442E-EB29-4F16-8DD2-A9EA2C928869}"/>
  </bookViews>
  <sheets>
    <sheet name="flex_coding" sheetId="1" r:id="rId1"/>
  </sheets>
  <definedNames>
    <definedName name="_xlnm._FilterDatabase" localSheetId="0" hidden="1">flex_coding!$A$1:$BA$101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X32" i="1" l="1"/>
  <c r="M100" i="1"/>
  <c r="M94" i="1"/>
  <c r="M90" i="1"/>
  <c r="M89" i="1"/>
  <c r="M87" i="1"/>
  <c r="M86" i="1"/>
  <c r="M85" i="1"/>
  <c r="M84" i="1"/>
  <c r="M83" i="1"/>
  <c r="M73" i="1"/>
  <c r="M67" i="1"/>
  <c r="M58" i="1"/>
  <c r="M56" i="1"/>
  <c r="M53" i="1"/>
  <c r="M48" i="1"/>
  <c r="M39" i="1"/>
  <c r="M37" i="1"/>
  <c r="M35" i="1"/>
  <c r="M4" i="1"/>
  <c r="M25" i="1"/>
  <c r="M12" i="1"/>
</calcChain>
</file>

<file path=xl/sharedStrings.xml><?xml version="1.0" encoding="utf-8"?>
<sst xmlns="http://schemas.openxmlformats.org/spreadsheetml/2006/main" count="1860" uniqueCount="1136">
  <si>
    <t>id</t>
  </si>
  <si>
    <t>authors</t>
  </si>
  <si>
    <t>year</t>
  </si>
  <si>
    <t>title</t>
  </si>
  <si>
    <t>journal</t>
  </si>
  <si>
    <t>vol</t>
  </si>
  <si>
    <t>issue</t>
  </si>
  <si>
    <t>pages</t>
  </si>
  <si>
    <t>doi</t>
  </si>
  <si>
    <t>study_n</t>
  </si>
  <si>
    <t>order</t>
  </si>
  <si>
    <t>sample</t>
  </si>
  <si>
    <t>size</t>
  </si>
  <si>
    <t>setting</t>
  </si>
  <si>
    <t>cited</t>
  </si>
  <si>
    <t>format</t>
  </si>
  <si>
    <t>pay</t>
  </si>
  <si>
    <t>start</t>
  </si>
  <si>
    <t>goal</t>
  </si>
  <si>
    <t>instruct</t>
  </si>
  <si>
    <t>feedback</t>
  </si>
  <si>
    <t>incent</t>
  </si>
  <si>
    <t>trials</t>
  </si>
  <si>
    <t>exercise</t>
  </si>
  <si>
    <t>time</t>
  </si>
  <si>
    <t>decks</t>
  </si>
  <si>
    <t>adv_n</t>
  </si>
  <si>
    <t>disadv_n</t>
  </si>
  <si>
    <t>cards_n</t>
  </si>
  <si>
    <t>reward_adv</t>
  </si>
  <si>
    <t>reward_disadv</t>
  </si>
  <si>
    <t>gain1</t>
  </si>
  <si>
    <t>gain2</t>
  </si>
  <si>
    <t>loss1</t>
  </si>
  <si>
    <t>loss2</t>
  </si>
  <si>
    <t>gain_int1</t>
  </si>
  <si>
    <t>gain_int2</t>
  </si>
  <si>
    <t>loss_int1</t>
  </si>
  <si>
    <t>loss_int2</t>
  </si>
  <si>
    <t>freq_adv1</t>
  </si>
  <si>
    <t>freq_adv2</t>
  </si>
  <si>
    <t>freq_disadv1</t>
  </si>
  <si>
    <t>freq_disadv2</t>
  </si>
  <si>
    <t>other</t>
  </si>
  <si>
    <t>blocks</t>
  </si>
  <si>
    <t>trials_block</t>
  </si>
  <si>
    <t>calc_n</t>
  </si>
  <si>
    <t>calc_desc</t>
  </si>
  <si>
    <t>notes</t>
  </si>
  <si>
    <t>39</t>
  </si>
  <si>
    <t>8</t>
  </si>
  <si>
    <t>2016</t>
  </si>
  <si>
    <t>003</t>
  </si>
  <si>
    <t>Sigurdardottir, Solrun; Jerstad, Tone; Andelic, Nada; Roe, Cecilie; Schanke, Anne-Kristine</t>
  </si>
  <si>
    <t>2010</t>
  </si>
  <si>
    <t>Olfactory dysfunction, gambling task performance and intracranial lesions after traumatic brain injury</t>
  </si>
  <si>
    <t>Neuropsychology (Neuropsychology)</t>
  </si>
  <si>
    <t>24</t>
  </si>
  <si>
    <t>4</t>
  </si>
  <si>
    <t>504–513</t>
  </si>
  <si>
    <t>10.1037/a0018934</t>
  </si>
  <si>
    <t>004</t>
  </si>
  <si>
    <t>Rodríguez-Sánchez, José Manuel; Crespo-Facorro, Benedicto; Iglesias, Rocío Perez; Bosch, César González-Blanch; Álvarez, Mario; Llorca, Javier; Vázquez-Barquero, José Luis</t>
  </si>
  <si>
    <t>2005</t>
  </si>
  <si>
    <t>Prefrontal cognitive functions in stabilized first-episode patients with schizophrenia spectrum disorders: A dissociation between dorsolateral and orbitofrontal functioning</t>
  </si>
  <si>
    <t>Schizophr Res (Schizophrenia Research)</t>
  </si>
  <si>
    <t>77</t>
  </si>
  <si>
    <t>2-3</t>
  </si>
  <si>
    <t>279–288</t>
  </si>
  <si>
    <t>10.1016/j.schres.2005.04.023</t>
  </si>
  <si>
    <t>2013</t>
  </si>
  <si>
    <t>Drug Alcohol Depend (Drug and Alcohol Dependence)</t>
  </si>
  <si>
    <t>133</t>
  </si>
  <si>
    <t>2</t>
  </si>
  <si>
    <t>006</t>
  </si>
  <si>
    <t>Shirayama, Yukihiko; Takahashi, Michio; Suzuki, Masatoshi; Tsuruoka, Yoshiaki; Sato, Koichi</t>
  </si>
  <si>
    <t>2014</t>
  </si>
  <si>
    <t>Effects of add-on ramelteon on cognitive impairment in patients with schizophrenia: An open-label pilot trial</t>
  </si>
  <si>
    <t>Clin Psychopharmacol Neurosci (Clinical Psychopharmacology and Neuroscience)</t>
  </si>
  <si>
    <t>12</t>
  </si>
  <si>
    <t>3</t>
  </si>
  <si>
    <t>215–217</t>
  </si>
  <si>
    <t>10.9758/cpn.2014.12.3.215</t>
  </si>
  <si>
    <t>1</t>
  </si>
  <si>
    <t>008</t>
  </si>
  <si>
    <t>Angioletti, Laura; Campanella, Salvatore; Balconi, Michela</t>
  </si>
  <si>
    <t>2020</t>
  </si>
  <si>
    <t>Metacognition deficits and impulsivity in Parkinson’s Disease patients with and without gambling behavior: A pilot study</t>
  </si>
  <si>
    <t>Neurol Psychiatry Brain Res (Neurology, Psychiatry and Brain Research)</t>
  </si>
  <si>
    <t>36</t>
  </si>
  <si>
    <t>88–95</t>
  </si>
  <si>
    <t>10.1016/j.npbr.2020.04.002</t>
  </si>
  <si>
    <t>009</t>
  </si>
  <si>
    <t>Schutter, Dennis J. L. G.; Haan, Edward H. F. de; van Honk, Jack</t>
  </si>
  <si>
    <t>2004</t>
  </si>
  <si>
    <t>Anterior asymmetrical alpha activity predicts Iowa gambling performance: Distinctly but reversed</t>
  </si>
  <si>
    <t>Neuropsychologia (Neuropsychologia)</t>
  </si>
  <si>
    <t>42</t>
  </si>
  <si>
    <t>7</t>
  </si>
  <si>
    <t>939–943</t>
  </si>
  <si>
    <t>10.1016/j.neuropsychologia.2003.11.014</t>
  </si>
  <si>
    <t>010</t>
  </si>
  <si>
    <t>Verdejo-García, Antonio; Albein-Urios, Natalia; Molina, Esther; Ching-López, Ana; Martínez-González, José M.; Gutiérrez, Blanca</t>
  </si>
  <si>
    <t>A MAOA genecocaine severity interaction on impulsivity and neuropsychological measures of orbitofrontal dysfunction: Preliminary results</t>
  </si>
  <si>
    <t>287–290</t>
  </si>
  <si>
    <t>10.1016/j.drugalcdep.2013.04.031</t>
  </si>
  <si>
    <t>012</t>
  </si>
  <si>
    <t>Davies, Julie L.; Turnbull, Oliver H.</t>
  </si>
  <si>
    <t>2011</t>
  </si>
  <si>
    <t>Affective bias in complex decision making: Modulating sensitivity to aversive feedback</t>
  </si>
  <si>
    <t>Motiv Emot (Motivation and Emotion)</t>
  </si>
  <si>
    <t>35</t>
  </si>
  <si>
    <t>235–248</t>
  </si>
  <si>
    <t>10.1007/s11031-011-9217-x</t>
  </si>
  <si>
    <t>015</t>
  </si>
  <si>
    <t>Duell, Natasha; Steinberg, Laurence; Chein, Jason; Al-Hassan, Suha M.; Bacchini, Dario; Lei, Chang; Chaudhary, Nandita; Di Giunta, Laura; Dodge, Kenneth A.; Fanti, Kostas A.; Lansford, Jennifer E.; Malone, Patrick S.; Oburu, Paul; Pastorelli, Concetta; Skinner, Ann T.; Sorbring, Emma; Tapanya, Sombat; Uribe Tirado, Liliana Maria; Alampay, Liane Peña</t>
  </si>
  <si>
    <t>Interaction of reward seeking and self-regulation in the prediction of risk taking: A cross-national test of the dual systems model</t>
  </si>
  <si>
    <t>Dev Psychol (Developmental Psychology)</t>
  </si>
  <si>
    <t>52</t>
  </si>
  <si>
    <t>10</t>
  </si>
  <si>
    <t>1593–1605</t>
  </si>
  <si>
    <t>10.1037/dev0000152</t>
  </si>
  <si>
    <t>016</t>
  </si>
  <si>
    <t>Miguel, Carmen S.; Martins, Paula A.; Moleda, Nathalya; Klein, Margarete; Chaim-Avancini, Tiffany; Gobbo, Maria A.; Cunha, Paulo J.; Alves, Tania M.; Silva, Maria A.; Louzã, Mario R.</t>
  </si>
  <si>
    <t>Cognition and impulsivity in adults with attention deficit hyperactivity disorder with and without cocaine and/or crack dependence</t>
  </si>
  <si>
    <t>160</t>
  </si>
  <si>
    <t>97–104</t>
  </si>
  <si>
    <t>10.1016/j.drugalcdep.2015.12.040</t>
  </si>
  <si>
    <t>017</t>
  </si>
  <si>
    <t>Vassileva, Jasmin; Paxton, Jessica; Moeller, F. Gerard; Wilson, Michael J.; Bozgunov, Kiril; Martin, Eileen M.; Gonzalez, Raul; Vasilev, Georgi</t>
  </si>
  <si>
    <t>Heroin and amphetamine users display opposite relationships between trait and neurobehavioral dimensions of impulsivity</t>
  </si>
  <si>
    <t>Addict Behav (Addictive Behaviors)</t>
  </si>
  <si>
    <t>652–659</t>
  </si>
  <si>
    <t>10.1016/j.addbeh.2013.11.020</t>
  </si>
  <si>
    <t>018</t>
  </si>
  <si>
    <t>Hayes, William M.; Wedell, Douglas H.</t>
  </si>
  <si>
    <t>Autonomic responses to choice outcomes: Links to task performance and reinforcement-learning parameters</t>
  </si>
  <si>
    <t>Biol Psychol (Biological Psychology)</t>
  </si>
  <si>
    <t>156</t>
  </si>
  <si>
    <t>10.1016/j.biopsycho.2020.107968</t>
  </si>
  <si>
    <t>019</t>
  </si>
  <si>
    <t>van den Bos, Ruud; Homberg, Judith; Gijsbers, Ellen; Heijer, Esther den; Cuppen, Edwin</t>
  </si>
  <si>
    <t>2009</t>
  </si>
  <si>
    <t>The effect of COMT Val¹⁵⁸ Met genotype on decision-making and preliminary findings on its interaction with the 5-HTTLPR in healthy females</t>
  </si>
  <si>
    <t>Neuropharmacology (Neuropharmacology)</t>
  </si>
  <si>
    <t>56</t>
  </si>
  <si>
    <t>493–498</t>
  </si>
  <si>
    <t>10.1016/j.neuropharm.2008.10.002</t>
  </si>
  <si>
    <t>020</t>
  </si>
  <si>
    <t>Mussey, Joanna L.; Travers, Brittany G.; Klinger, Laura Grofer; Klinger, Mark R.</t>
  </si>
  <si>
    <t>2015</t>
  </si>
  <si>
    <t>Decision‐making skills in ASD: Performance on the Iowa Gambling Task</t>
  </si>
  <si>
    <t>Autism Res (Autism Research)</t>
  </si>
  <si>
    <t>105–114</t>
  </si>
  <si>
    <t>10.1002/aur.1429</t>
  </si>
  <si>
    <t>Bechara 1994</t>
  </si>
  <si>
    <t>fictive money</t>
  </si>
  <si>
    <t>2000 $</t>
  </si>
  <si>
    <t>win as much money as possible, and avoid losing money as much as possible</t>
  </si>
  <si>
    <t>may choose cards from any deck, may switch decks at any time and as often as they wish, some decks are worse than others and to win, one must stay away from the worst decks and stick to the better decks</t>
  </si>
  <si>
    <t>c01</t>
  </si>
  <si>
    <t>c02</t>
  </si>
  <si>
    <t>win as much money as possible</t>
  </si>
  <si>
    <t>c03</t>
  </si>
  <si>
    <t>c07</t>
  </si>
  <si>
    <t>c10</t>
  </si>
  <si>
    <t>50 $</t>
  </si>
  <si>
    <t>win as much money as possible, avoid loss</t>
  </si>
  <si>
    <t>with each card info about the win and whether there was a loss as well</t>
  </si>
  <si>
    <t>pre-punishment phase of about 10-15 cards</t>
  </si>
  <si>
    <t>2000 pounds</t>
  </si>
  <si>
    <t>4s</t>
  </si>
  <si>
    <t>net gain or loss with each card instead of gain and loss; running total of earnings on the screen</t>
  </si>
  <si>
    <t>schedules described in Bechara 1994</t>
  </si>
  <si>
    <t>with each card info about the win and whether there was a loss as well; running total</t>
  </si>
  <si>
    <t>40/60</t>
  </si>
  <si>
    <t>switch decks whenever they like</t>
  </si>
  <si>
    <t xml:space="preserve">net gain or loss or neutral outcome with each card </t>
  </si>
  <si>
    <t>250 $</t>
  </si>
  <si>
    <t>100 $</t>
  </si>
  <si>
    <t>c20</t>
  </si>
  <si>
    <t>021</t>
  </si>
  <si>
    <t>Ouerchefani, Riadh; Ouerchefani, Naoufel; Allain, Philippe; Ben Rejeb, Mohamed Riadh; Le Gall, Didier</t>
  </si>
  <si>
    <t>2019</t>
  </si>
  <si>
    <t>Relationships between executive function, working memory, and decision-making on the Iowa Gambling Task: Evidence from ventromedial patients, dorsolateral patients, and normal subjects</t>
  </si>
  <si>
    <t>J Neuropsychol (Journal of Neuropsychology)</t>
  </si>
  <si>
    <t>13</t>
  </si>
  <si>
    <t>432–461</t>
  </si>
  <si>
    <t>10.1111/jnp.12156</t>
  </si>
  <si>
    <t>5</t>
  </si>
  <si>
    <t>024</t>
  </si>
  <si>
    <t>Manes, Facundo; Sahakian, Barbara; Clark, Luke; Rogers, Robert; Antoun, Nagui; Aitken, Mike; Robbins, Trevor</t>
  </si>
  <si>
    <t>2002</t>
  </si>
  <si>
    <t>Decision-making processes following damage to the prefrontal cortex</t>
  </si>
  <si>
    <t>Brain (Brain: A Journal of Neurology)</t>
  </si>
  <si>
    <t>125</t>
  </si>
  <si>
    <t>624–639</t>
  </si>
  <si>
    <t>10.1093/brain/awf049</t>
  </si>
  <si>
    <t>025</t>
  </si>
  <si>
    <t>Cassotti, Mathieu; Moutier, Sylvain</t>
  </si>
  <si>
    <t>How to explain receptivity to conjunction-fallacy inhibition training: Evidence from the Iowa Gambling Task</t>
  </si>
  <si>
    <t>Brain Cogn (Brain and Cognition)</t>
  </si>
  <si>
    <t>72</t>
  </si>
  <si>
    <t>378–384</t>
  </si>
  <si>
    <t>10.1016/j.bandc.2009.11.004</t>
  </si>
  <si>
    <t>026</t>
  </si>
  <si>
    <t>Vergara-Moragues, Esperanza; Verdejo-García, Antonio; Lozano, Oscar M.; Santiago-Ramajo, Sandra; González-Saiz, Francisco; Betanzos Espinosa, Patricia; Pérez García, Miguel</t>
  </si>
  <si>
    <t>2017</t>
  </si>
  <si>
    <t>Association between executive function and outcome measure of treatment in therapeutic community among cocaine dependent individuals</t>
  </si>
  <si>
    <t>J Subst Abuse Treat (Journal of Substance Abuse Treatment)</t>
  </si>
  <si>
    <t>78</t>
  </si>
  <si>
    <t>48–55</t>
  </si>
  <si>
    <t>10.1016/j.jsat.2017.04.014</t>
  </si>
  <si>
    <t>027</t>
  </si>
  <si>
    <t>Fujiwara, Esther; Schwartz, Michael L.; Gao, Fuqiang; Black, Sandra E.; Levine, Brian</t>
  </si>
  <si>
    <t>2008</t>
  </si>
  <si>
    <t>Ventral frontal cortex functions and quantified MRI in traumatic brain injury</t>
  </si>
  <si>
    <t>46</t>
  </si>
  <si>
    <t>461–474</t>
  </si>
  <si>
    <t>10.1016/j.neuropsychologia.2007.08.027</t>
  </si>
  <si>
    <t>028</t>
  </si>
  <si>
    <t>Vassileva, Jasmin; Petkova, Pavlina; Georgiev, Stefan; Martin, Eileen M.; Tersiyski, Ruslan; Raycheva, Margarita; Velinov, Vladimir; Marinov, Peter</t>
  </si>
  <si>
    <t>2007</t>
  </si>
  <si>
    <t>Impaired decision-making in psychopathic heroin addicts</t>
  </si>
  <si>
    <t>86</t>
  </si>
  <si>
    <t>287–289</t>
  </si>
  <si>
    <t>10.1016/j.drugalcdep.2006.06.015</t>
  </si>
  <si>
    <t>030</t>
  </si>
  <si>
    <t>Simioni, Samanta; Ruffieux, Christiane; Kleeberg, Joerg; Bruggimann, Laure; Du Pasquier, Renaud A.; Annoni, Jean-Marie; Schluep, Myriam</t>
  </si>
  <si>
    <t>Progressive decline of decision-making performances during multiple sclerosis</t>
  </si>
  <si>
    <t>J Int Neuropsychol Soc (Journal of the International Neuropsychological Society)</t>
  </si>
  <si>
    <t>15</t>
  </si>
  <si>
    <t>291–295</t>
  </si>
  <si>
    <t>10.1017/S1355617709090262</t>
  </si>
  <si>
    <t>032</t>
  </si>
  <si>
    <t>Drucaroff, Lucas Javier; Kievit, Rogier; Guinjoan, Salvador M.; Gerschcovich, Eliana Roldán; Cerquetti, Daniel; Leiguarda, Ramón; Cardinali, Daniel P.; Vigo, Daniel E.</t>
  </si>
  <si>
    <t>Higher autonomic activation predicts better performance in Iowa Gambling Task</t>
  </si>
  <si>
    <t>Cogn Behav Neurol (Cognitive and Behavioral Neurology)</t>
  </si>
  <si>
    <t>93–98</t>
  </si>
  <si>
    <t>10.1097/WNN.0b013e3182239308</t>
  </si>
  <si>
    <t>033</t>
  </si>
  <si>
    <t>Correas, A.; López-Caneda, E.; Beaton, L.; Rodríguez Holguín, S.; García-Moreno, L. M.; Antón-Toro, L. F.; Cadaveira, F.; Maestú, F.; Marinkovic, K.</t>
  </si>
  <si>
    <t>Decreased event-related theta power and phase-synchrony in young binge drinkers during target detection: An anatomically-constrained MEG approach</t>
  </si>
  <si>
    <t>J Psychopharmacol (Journal of Psychopharmacology)</t>
  </si>
  <si>
    <t>33</t>
  </si>
  <si>
    <t>335–346</t>
  </si>
  <si>
    <t>10.1177/0269881118805498</t>
  </si>
  <si>
    <t>034</t>
  </si>
  <si>
    <t>van Toor, Désie; Roozen, Hendrik G.; Evans, Brittany E.; Rombout, Linda; van de Wetering, Ben J. M.; Vingerhoets, Ad J. J. M.</t>
  </si>
  <si>
    <t>The effects of psychiatric distress, inhibition, and impulsivity on decision making in patients with substance use disorders: A matched control study</t>
  </si>
  <si>
    <t>J Clin Exp Neuropsychol (Journal of Clinical and Experimental Neuropsychology)</t>
  </si>
  <si>
    <t>161–168</t>
  </si>
  <si>
    <t>10.1080/13803395.2010.493300</t>
  </si>
  <si>
    <t>035</t>
  </si>
  <si>
    <t>Lovallo, William R.; Yechiam, Eldad; Sorocco, Kristen H.; Vincent, Andrea S.; Collins, Frank L.</t>
  </si>
  <si>
    <t>2006</t>
  </si>
  <si>
    <t>Working memory and decision-making biases in young adults with a family history of alcoholism: Studies from the Oklahoma Family Health Patterns Project</t>
  </si>
  <si>
    <t>Alcohol Clin Exp Res (Alcoholism: Clinical and Experimental Research)</t>
  </si>
  <si>
    <t>30</t>
  </si>
  <si>
    <t>763–773</t>
  </si>
  <si>
    <t>10.1111/j.1530-0277.2006.00089.x</t>
  </si>
  <si>
    <t>036</t>
  </si>
  <si>
    <t>Olkoniemi, Henri; Ranta, Henri; Kaakinen, Johanna K.</t>
  </si>
  <si>
    <t>Individual differences in the processing of written sarcasm and metaphor: Evidence from eye movements</t>
  </si>
  <si>
    <t>J Exp Psychol Learn Mem Cogn (Journal of Experimental Psychology: Learning, Memory, and Cognition)</t>
  </si>
  <si>
    <t>433–450</t>
  </si>
  <si>
    <t>10.1037/xlm0000176</t>
  </si>
  <si>
    <t>037</t>
  </si>
  <si>
    <t>Boeka, Abbe Gayle; Lokken, Kristine Lee</t>
  </si>
  <si>
    <t>The Iowa gambling task as a measure of decision making in women with bulimia nervosa</t>
  </si>
  <si>
    <t>741–745</t>
  </si>
  <si>
    <t>10.1017/S1355617706060887</t>
  </si>
  <si>
    <t>038</t>
  </si>
  <si>
    <t>Webb, Christian A.; DelDonno, Sophie; Killgore, William D. S.</t>
  </si>
  <si>
    <t>The role of cognitive versus emotional intelligence in Iowa Gambling Task performance: What's emotion got to do with it?</t>
  </si>
  <si>
    <t>Intelligence (Intelligence)</t>
  </si>
  <si>
    <t>44</t>
  </si>
  <si>
    <t>112–119</t>
  </si>
  <si>
    <t>10.1016/j.intell.2014.03.008</t>
  </si>
  <si>
    <t>039</t>
  </si>
  <si>
    <t>Brown, Elliot C.; Hack, Samantha M.; Gold, James M.; Carpenter, William T. [JR.]; Fischer, Bernard A.; Prentice, Kristen P.; Waltz, James A.</t>
  </si>
  <si>
    <t>Integrating frequency and magnitude information in decision-making in schizophrenia: An account of patient performance on the Iowa Gambling Task</t>
  </si>
  <si>
    <t>J Psychiatr Res (Journal of Psychiatric Research)</t>
  </si>
  <si>
    <t>66-67</t>
  </si>
  <si>
    <t>16–23</t>
  </si>
  <si>
    <t>10.1016/j.jpsychires.2015.04.007</t>
  </si>
  <si>
    <t>free to switch decks at any time</t>
  </si>
  <si>
    <t>unlimited</t>
  </si>
  <si>
    <t>dependent variable is described as net score on each block of the task, but reported is a total value (so I coded both)</t>
  </si>
  <si>
    <t>200 $</t>
  </si>
  <si>
    <t>original computerized version of the IGT and follow-up with parallel version described in Hernandez 2006 to which I have no access</t>
  </si>
  <si>
    <t>described in Crone 2004</t>
  </si>
  <si>
    <t>Bechara 1997</t>
  </si>
  <si>
    <t>fictive apples</t>
  </si>
  <si>
    <t>assist hungry donkey to collect as many apples as possible</t>
  </si>
  <si>
    <t>number of apples gained or lost; total amount of apples won or lost</t>
  </si>
  <si>
    <t>2 apples</t>
  </si>
  <si>
    <t>4 apples</t>
  </si>
  <si>
    <t>10 apples</t>
  </si>
  <si>
    <t>losses from bad decks become larger after 20 plays from those decks, in the good decks the initial losses are larger than gains but the wins increase relative to the losses</t>
  </si>
  <si>
    <t>use capital in the game to win more money than lose</t>
  </si>
  <si>
    <t>c21</t>
  </si>
  <si>
    <t>pick freely from any decks</t>
  </si>
  <si>
    <t>amount of money lost or won</t>
  </si>
  <si>
    <t>005</t>
  </si>
  <si>
    <t>Tamm, Leanne; Epstein, Jeffery N.; Lisdahl, Krista M.; Molina, Brooke; Tapert, Susan; Hinshaw, Stephen P.; Arnold, L. Eugene; Velanova, Katerina; Abikoff, Howard; Swanson, James M.</t>
  </si>
  <si>
    <t>Impact of ADHD and cannabis use on executive functioning in young adults</t>
  </si>
  <si>
    <t>607–614</t>
  </si>
  <si>
    <t>10.1016/j.drugalcdep.2013.08.001</t>
  </si>
  <si>
    <t>Psychol Aging (Psychology and Aging)</t>
  </si>
  <si>
    <t>34</t>
  </si>
  <si>
    <t>043</t>
  </si>
  <si>
    <t>Olson, Elizabeth A.; Weber, Mareen; Rauch, Scott L.; Killgore, William D. S.</t>
  </si>
  <si>
    <t>Daytime sleepiness is associated with reduced integration of temporally distant outcomes on the Iowa Gambling Task</t>
  </si>
  <si>
    <t>Behav Sleep Med (Behavioral Sleep Medicine)</t>
  </si>
  <si>
    <t>14</t>
  </si>
  <si>
    <t>200–211</t>
  </si>
  <si>
    <t>10.1080/15402002.2014.974182</t>
  </si>
  <si>
    <t>047</t>
  </si>
  <si>
    <t>Moussa, Malaak Nasser; Wesley, Michael J.; Porrino, Linda J.; Hayasaka, Satoru; Bechara, Antoine; Burdette, Jonathan H.; Laurienti, Paul J.</t>
  </si>
  <si>
    <t>Age-related differences in advantageous decision making are associated with distinct differences in functional community structure</t>
  </si>
  <si>
    <t>Brain Connect (Brain Connectivity)</t>
  </si>
  <si>
    <t>193–202</t>
  </si>
  <si>
    <t>10.1089/brain.2013.0184</t>
  </si>
  <si>
    <t>048</t>
  </si>
  <si>
    <t>Hilbert, Anja; Neuhaus, Petra; Köhler, Norbert; Petroff, David; Hay, Phillipa; Hübner, Claudia</t>
  </si>
  <si>
    <t>2021</t>
  </si>
  <si>
    <t>Group cognitive remediation therapy prior to behavioral weight loss treatment for adults with severe obesity: A randomized clinical trial (CRT study)</t>
  </si>
  <si>
    <t>J Consult Clin Psychol (Journal of Consulting and Clinical Psychology)</t>
  </si>
  <si>
    <t>89</t>
  </si>
  <si>
    <t>695–706</t>
  </si>
  <si>
    <t>10.1037/ccp0000668</t>
  </si>
  <si>
    <t>049</t>
  </si>
  <si>
    <t>Castro e Couto, Tiago; Neves, Fernando Silva; Machado, Maria Carolina Lobato; Vasconcelos, Alina Gomide; Correa, Humberto; Malloy-Diniz, Leandro Fernandes</t>
  </si>
  <si>
    <t>2012</t>
  </si>
  <si>
    <t>Assessment of impulsivity in bipolar disorder (BD) in comorbidity with generalized anxiety disorder (GAD): Revisiting the hypothesis of protective effect</t>
  </si>
  <si>
    <t>Clin Neuropsychiatry (Clinical Neuropsychiatry: Journal of Treatment Evaluation)</t>
  </si>
  <si>
    <t>9</t>
  </si>
  <si>
    <t>102–106</t>
  </si>
  <si>
    <t>10.1037/t00741-000;</t>
  </si>
  <si>
    <t>050</t>
  </si>
  <si>
    <t>Dolan, Sara L.; Bechara, Antoine; Nathan, Peter E.</t>
  </si>
  <si>
    <t>Executive dysfunction as a risk marker for substance abuse: The role of impulsive personality traits</t>
  </si>
  <si>
    <t>Behav Sci Law (Behavioral Sciences &amp; the Law)</t>
  </si>
  <si>
    <t>26</t>
  </si>
  <si>
    <t>6</t>
  </si>
  <si>
    <t>799–822</t>
  </si>
  <si>
    <t>10.1002/bsl.845</t>
  </si>
  <si>
    <t>051</t>
  </si>
  <si>
    <t>Biars, Julia W.; Johnson, Nicole L.; Nespeca, Michelle; Busch, Robyn M.; Kubu, Cynthia S.; Floden, Darlene P.</t>
  </si>
  <si>
    <t>Iowa gambling task performance in Parkinson disease patients with impulse control disorders</t>
  </si>
  <si>
    <t>Arch Clin Neuropsychol (Archives of Clinical Neuropsychology)</t>
  </si>
  <si>
    <t>310–318</t>
  </si>
  <si>
    <t>10.1093/arclin/acy036</t>
  </si>
  <si>
    <t>052</t>
  </si>
  <si>
    <t>Wilde, Bieke; Goudriaan, Anneke; Sabbe, Bernard; Hulstijn, Wouter; Dom, Geert</t>
  </si>
  <si>
    <t>Relapse in pathological gamblers: A pilot study on the predictive value of different impulsivity measures</t>
  </si>
  <si>
    <t>J Behav Addict (Journal of Behavioral Addictions)</t>
  </si>
  <si>
    <t>23–30</t>
  </si>
  <si>
    <t>10.1556/JBA.2.2013.1.4</t>
  </si>
  <si>
    <t>053</t>
  </si>
  <si>
    <t>Pettorruso, Mauro; Martinotti, Giovanni; Cocciolillo, Fabrizio; Risio, Luisa de; Cinquino, Annarita; Di Nicola, Marco; Camardese, Giovanni; Migliara, Giuseppe; Moccia, Lorenzo; Conte, Eliana; Janiri, Luigi; Di Giuda, Daniela</t>
  </si>
  <si>
    <t>Striatal presynaptic dopaminergic dysfunction in gambling disorder: A ¹²³I‐FP‐CIT SPECT study</t>
  </si>
  <si>
    <t>Addict Biol (Addiction Biology)</t>
  </si>
  <si>
    <t>1077–1086</t>
  </si>
  <si>
    <t>10.1111/adb.12677</t>
  </si>
  <si>
    <t>054</t>
  </si>
  <si>
    <t>Delpero, Carla; Mioni, Giovanna; Rubio, Jose Luis; Juárez Ramos, Verónica; Gómez Milán, Emilio; Stablum, Franca</t>
  </si>
  <si>
    <t>Decision-making and feedback sensitivity: A comparison between older and younger adults</t>
  </si>
  <si>
    <t>J Cogn Psychol (Hove) (Journal of Cognitive Psychology)</t>
  </si>
  <si>
    <t>27</t>
  </si>
  <si>
    <t>882–897</t>
  </si>
  <si>
    <t>10.1080/20445911.2015.1036759</t>
  </si>
  <si>
    <t>056</t>
  </si>
  <si>
    <t>Laier, Christian; Pawlikowski, Mirko; Brand, Matthias</t>
  </si>
  <si>
    <t>Sexual picture processing interferes with decision-making under ambiguity</t>
  </si>
  <si>
    <t>Arch Sex Behav (Archives of Sexual Behavior)</t>
  </si>
  <si>
    <t>43</t>
  </si>
  <si>
    <t>473–482</t>
  </si>
  <si>
    <t>10.1007/s10508-013-0119-8</t>
  </si>
  <si>
    <t>057</t>
  </si>
  <si>
    <t>Peatfield, Nicholas; Parkinson, John; Intriligator, James</t>
  </si>
  <si>
    <t>Emotion‐based learning is biased by brand logos</t>
  </si>
  <si>
    <t>Appl Cogn Psychol (Applied Cognitive Psychology)</t>
  </si>
  <si>
    <t>694–701</t>
  </si>
  <si>
    <t>10.1002/acp.2847</t>
  </si>
  <si>
    <t>2018</t>
  </si>
  <si>
    <t>J Gambl Stud (Journal of Gambling Studies)</t>
  </si>
  <si>
    <t>059</t>
  </si>
  <si>
    <t>Huang, Yumi H.; Wood, Stacey; Berger, Dale E.; Hanoch, Yaniv</t>
  </si>
  <si>
    <t>Age differences in experiential and deliberative processes in unambiguous and ambiguous decision making</t>
  </si>
  <si>
    <t>675–687</t>
  </si>
  <si>
    <t>10.1037/pag0000038</t>
  </si>
  <si>
    <t>060</t>
  </si>
  <si>
    <t>Allom, Vanessa; Mullan, Barbara; Sebastian, Jamie</t>
  </si>
  <si>
    <t>Closing the intention–behaviour gap for sunscreen use and sun protection behaviours</t>
  </si>
  <si>
    <t>Psychol Health (Psychology &amp; Health)</t>
  </si>
  <si>
    <t>28</t>
  </si>
  <si>
    <t>477–494</t>
  </si>
  <si>
    <t>10.1080/08870446.2012.745935</t>
  </si>
  <si>
    <t>Busemeyer &amp; Stout 2002</t>
  </si>
  <si>
    <t>standard instructions from Bechara 1999</t>
  </si>
  <si>
    <t>2s</t>
  </si>
  <si>
    <t>win, win and loss, or neutral outcome in control trials</t>
  </si>
  <si>
    <t>3 blocks of trials a 45 gambling trials and 13 control trials in which participant where told to choose from a specific deck</t>
  </si>
  <si>
    <t>some decks are better, but not which ones</t>
  </si>
  <si>
    <t>money won or lost</t>
  </si>
  <si>
    <t>maximize amount of money</t>
  </si>
  <si>
    <t>gains and losses</t>
  </si>
  <si>
    <t>cut-off score: total net score above +10</t>
  </si>
  <si>
    <t>maximize profit</t>
  </si>
  <si>
    <t>amount won, followed by the amount lost, if any</t>
  </si>
  <si>
    <t>there are good and bad decks; stay away from bad decks to win</t>
  </si>
  <si>
    <t>amount of money won and amount of money lost, if any</t>
  </si>
  <si>
    <t>modified version: neutral stimuli (pictures on the back of the deck) on the disadvantageous and sexual stimuli on the advantageous decks or the other way round (two group)</t>
  </si>
  <si>
    <t>50 pounds</t>
  </si>
  <si>
    <t>100 pounds</t>
  </si>
  <si>
    <t>250 pounds</t>
  </si>
  <si>
    <t>1B</t>
  </si>
  <si>
    <t>modified version: neutral stimuli on 3 decks, dis-liked brand logo on 1 of the good decks</t>
  </si>
  <si>
    <t>wins and losses; overall running total; performance over last 10 outcomes</t>
  </si>
  <si>
    <t>treat money as if it were real</t>
  </si>
  <si>
    <t>061</t>
  </si>
  <si>
    <t>Gilbert, Alison M.; Garno, Jessica L.; Braga, Raphael J.; Shaya, Yaniv; Goldberg, Terry E.; Malhotra, Anil K.; Burdick, Katherine E.</t>
  </si>
  <si>
    <t>Clinical and cognitive correlates of suicide attempts in bipolar disorder: Is suicide predictable?</t>
  </si>
  <si>
    <t>J Clin Psychiatry (The Journal of Clinical Psychiatry)</t>
  </si>
  <si>
    <t>1027–1033</t>
  </si>
  <si>
    <t>10.4088/JCP.10m06410</t>
  </si>
  <si>
    <t>062</t>
  </si>
  <si>
    <t>Alexander, Peter D.; Gicas, Kristina M.; Willi, Taylor S.; Kim, Clara N.; Boyeva, Veronika; Procyshyn, Ric M.; Smith, Geoff N.; Thornton, Allen E.; Panenka, William J.; Jones, Andrea A.; Vila-Rodriguez, Fidel; Lang, Donna J.; William MacEwan, G.; Honer, William G.; Barr, Alasdair M.</t>
  </si>
  <si>
    <t>A comparison of psychotic symptoms in subjects with methamphetamine versus cocaine dependence</t>
  </si>
  <si>
    <t>Psychopharmacology (Berl) (Psychopharmacology)</t>
  </si>
  <si>
    <t>234</t>
  </si>
  <si>
    <t>9-10</t>
  </si>
  <si>
    <t>1535–1547</t>
  </si>
  <si>
    <t>10.1007/s00213-017-4551-7</t>
  </si>
  <si>
    <t>064</t>
  </si>
  <si>
    <t>Bayard, Sophie; Langenier, Muriel Croisier; Dauvilliers, Yves</t>
  </si>
  <si>
    <t>Decision-making, reward-seeking behaviors and dopamine agonist therapy in restless legs syndrome</t>
  </si>
  <si>
    <t>Sleep (Sleep: Journal of Sleep and Sleep Disorders Research)</t>
  </si>
  <si>
    <t>1501–1507</t>
  </si>
  <si>
    <t>10.5665/sleep.3044</t>
  </si>
  <si>
    <t>065</t>
  </si>
  <si>
    <t>Zorlu, Nabi; Ucman, Tugba Karavul; Gelal, Fazil; Kalayci, Cigdem Colak; Polat, Serap; Saricicek, Aybala; Zorlu, Pelin Kurtgöz; Gulseren, Seref</t>
  </si>
  <si>
    <t>Abnormal white matter integrity in long-term abstinent alcohol dependent patients</t>
  </si>
  <si>
    <t>Psychiatry Res (Psychiatry Research: Neuroimaging)</t>
  </si>
  <si>
    <t>224</t>
  </si>
  <si>
    <t>42–48</t>
  </si>
  <si>
    <t>10.1016/j.pscychresns.2014.07.006</t>
  </si>
  <si>
    <t>066</t>
  </si>
  <si>
    <t>Becker, Mary P.; Collins, Paul F.; Schultz, Ashley; Urošević, Snežana; Schmaling, Brittany; Luciana, Monica</t>
  </si>
  <si>
    <t>Longitudinal changes in cognition in young adult cannabis users</t>
  </si>
  <si>
    <t>40</t>
  </si>
  <si>
    <t>529–543</t>
  </si>
  <si>
    <t>10.1080/13803395.2017.1385729</t>
  </si>
  <si>
    <t>067</t>
  </si>
  <si>
    <t>Oyama, Genko; Shimo, Yasushi; Natori, Shihoko; Nakajima, Madoka; Ishii, Hisato; Arai, Hajime; Hattori, Nobutaka</t>
  </si>
  <si>
    <t>Acute effects of bilateral subthalamic stimulation on decision-making in Parkinson’s disease</t>
  </si>
  <si>
    <t>Parkinsonism Relat Disord (Parkinsonism &amp; Related Disorders)</t>
  </si>
  <si>
    <t>17</t>
  </si>
  <si>
    <t>189–193</t>
  </si>
  <si>
    <t>10.1016/j.parkreldis.2010.12.004</t>
  </si>
  <si>
    <t>068</t>
  </si>
  <si>
    <t>Wadsworth, L. P.; Hayes-Skelton, S. A.</t>
  </si>
  <si>
    <t>Exploring perceived control, a low-control task, and a brief acceptance intervention in a low and high transdiagnostic anxiety sample</t>
  </si>
  <si>
    <t>1–9</t>
  </si>
  <si>
    <t>10.1016/j.npbr.2019.11.001</t>
  </si>
  <si>
    <t>069</t>
  </si>
  <si>
    <t>Bakos, Daniela Schneider; Denburg, Natalie; Fonseca, Rochele Paz; Parente, Maria Alice de Mattos Pimenta</t>
  </si>
  <si>
    <t>A cultural study on decision making: Performance differences on the Iowa Gambling Task between selected groups of Brazilians and Americans</t>
  </si>
  <si>
    <t>Psychol Neurosci (Psychology &amp; Neuroscience)</t>
  </si>
  <si>
    <t>101–107</t>
  </si>
  <si>
    <t>10.3922/j.psns.2010.1.013</t>
  </si>
  <si>
    <t>070</t>
  </si>
  <si>
    <t>Olkoniemi, Henri; Johander, Eerika; Kaakinen, Johanna K.</t>
  </si>
  <si>
    <t>The role of look-backs in the processing of written sarcasm</t>
  </si>
  <si>
    <t>Mem Cognit (Memory &amp; Cognition)</t>
  </si>
  <si>
    <t>47</t>
  </si>
  <si>
    <t>87–105</t>
  </si>
  <si>
    <t>10.3758/s13421-018-0852-2</t>
  </si>
  <si>
    <t>071</t>
  </si>
  <si>
    <t>Kobayakawa, Mutsutaka; Tsuruya, Natsuko; Kawamura, Mitsuru</t>
  </si>
  <si>
    <t>Sensitivity to reward and punishment in Parkinson’s disease: An analysis of behavioral patterns using a modified version of the Iowa gambling task</t>
  </si>
  <si>
    <t>16</t>
  </si>
  <si>
    <t>453–457</t>
  </si>
  <si>
    <t>10.1016/j.parkreldis.2010.04.011</t>
  </si>
  <si>
    <t>072</t>
  </si>
  <si>
    <t>Agay, Nirit; Yechiam, Eldad; Carmel, Ziv; Levkovitz, Yechiel</t>
  </si>
  <si>
    <t>Methylphenidate enhances cognitive performance in adults with poor baseline capacities regardless of attention-deficit/hyperactivity disorder diagnosis</t>
  </si>
  <si>
    <t>J Clin Psychopharmacol (Journal of Clinical Psychopharmacology)</t>
  </si>
  <si>
    <t>261–265</t>
  </si>
  <si>
    <t>10.1097/JCP.0000000000000076</t>
  </si>
  <si>
    <t>074</t>
  </si>
  <si>
    <t>Tolin, David F.; Villavicencio, Anna</t>
  </si>
  <si>
    <t>An exploration of economic reasoning in hoarding disorder patients</t>
  </si>
  <si>
    <t>Behav Res Ther (Behaviour Research and Therapy)</t>
  </si>
  <si>
    <t>49</t>
  </si>
  <si>
    <t>914–919</t>
  </si>
  <si>
    <t>10.1016/j.brat.2011.09.005</t>
  </si>
  <si>
    <t>075</t>
  </si>
  <si>
    <t>Paiva, Maria L.; Rzezak, Patricia; Santos, Bernardo; Lima, Ellen M.; Moschetta, Sylvie P.; Vincentiis, Silvia; Alessi, Rudá; Mendoza, Melanie; Valente, Kette D.</t>
  </si>
  <si>
    <t>Dissociation between decision making under ambiguity and risk in patients with juvenile myoclonic epilepsy</t>
  </si>
  <si>
    <t>Epilepsy Behav (Epilepsy &amp; Behavior)</t>
  </si>
  <si>
    <t>101</t>
  </si>
  <si>
    <t>Part A</t>
  </si>
  <si>
    <t>10.1016/j.yebeh.2019.106548</t>
  </si>
  <si>
    <t>078</t>
  </si>
  <si>
    <t>Balconi, Michela; Finocchiaro, Roberta; Canavesio, Ylenia; Messina, Rossella</t>
  </si>
  <si>
    <t>Reward bias and lateralization in gambling behavior: Behavioral activation system and alpha band analysis</t>
  </si>
  <si>
    <t>Psychiatry Res (Psychiatry Research)</t>
  </si>
  <si>
    <t>219</t>
  </si>
  <si>
    <t>570–576</t>
  </si>
  <si>
    <t>10.1016/j.psychres.2014.06.020</t>
  </si>
  <si>
    <t>079</t>
  </si>
  <si>
    <t>Moeller, F. Gerard; Steinberg, Joel L.; Lane, Scott D.; Buzby, Matthew; Swann, Alan C.; Hasan, Khader M.; Kramer, Larry A.; Narayana, Ponnada A.</t>
  </si>
  <si>
    <t>Diffusion tensor imaging in MDMA users and controls: Association with decision making</t>
  </si>
  <si>
    <t>Am J Drug Alcohol Abuse (The American Journal of Drug and Alcohol Abuse)</t>
  </si>
  <si>
    <t>777–789</t>
  </si>
  <si>
    <t>10.1080/00952990701651564</t>
  </si>
  <si>
    <t>081</t>
  </si>
  <si>
    <t>Werner, Natalie S.; Jung, Katharina; Duschek, Stefan; Schandry, Rainer</t>
  </si>
  <si>
    <t>Enhanced cardiac perception is associated with benefits in decision-making</t>
  </si>
  <si>
    <t>Psychophysiology (Psychophysiology)</t>
  </si>
  <si>
    <t>1123–1129</t>
  </si>
  <si>
    <t>10.1111/j.1469-8986.2009.00855.x</t>
  </si>
  <si>
    <t>11</t>
  </si>
  <si>
    <t>083</t>
  </si>
  <si>
    <t>Ciberti, Agnese; Cavalletti, Matteo; Palagini, Laura; Mariani, Michela Giorgi; Dell'Osso, Liliana; Mauri, Mauro; Maglio, Alessandra; Mucci, Federico; Marazziti, Donatella; Miniati, Mario</t>
  </si>
  <si>
    <t>Decision-making, impulsiveness and temperamental traits in eating disorders</t>
  </si>
  <si>
    <t>199–208</t>
  </si>
  <si>
    <t>084</t>
  </si>
  <si>
    <t>Bolla, Karen I.; Eldreth, D. A.; Matochik, J. A.; Cadet, J. L.</t>
  </si>
  <si>
    <t>Sex-related Differences in a Gambling Task and Its Neurological Correlates</t>
  </si>
  <si>
    <t>Cereb Cortex (Cerebral Cortex)</t>
  </si>
  <si>
    <t>1226–1232</t>
  </si>
  <si>
    <t>10.1093/cercor/bhh083</t>
  </si>
  <si>
    <t>085</t>
  </si>
  <si>
    <t>Contribution of different regions of the prefrontal cortex and lesion laterality to deficit of decision-making on the Iowa Gambling Task</t>
  </si>
  <si>
    <t>111</t>
  </si>
  <si>
    <t>73–85</t>
  </si>
  <si>
    <t>10.1016/j.bandc.2016.06.010</t>
  </si>
  <si>
    <t>086</t>
  </si>
  <si>
    <t>Bauer, A. S.; Timpe, J. C.; Edmonds, E. C.; Bechara, Antoine; Tranel, Daniel; Denburg, Natalie L.</t>
  </si>
  <si>
    <t>Myopia for the future or hypersensitivity to reward? Age-related changes in decision making on the Iowa Gambling Task</t>
  </si>
  <si>
    <t>Emotion (Emotion)</t>
  </si>
  <si>
    <t>19–24</t>
  </si>
  <si>
    <t>10.1037/a0029970</t>
  </si>
  <si>
    <t>087</t>
  </si>
  <si>
    <t>Overman, William; Graham, Lee; Redmond, Alyssa; Eubank, Rebecca; Boettcher, Laura; Samplawski, Olga; Walsh, Katherine</t>
  </si>
  <si>
    <t>Contemplation of moral dilemmas eliminates sex differences on the iowa gambling task</t>
  </si>
  <si>
    <t>Behav Neurosci (Behavioral Neuroscience)</t>
  </si>
  <si>
    <t>120</t>
  </si>
  <si>
    <t>817–825</t>
  </si>
  <si>
    <t>10.1037/0735-7044.120.4.817</t>
  </si>
  <si>
    <t>088</t>
  </si>
  <si>
    <t>Ciccarelli, Maria; Griffiths, Mark D.; Nigro, Giovanna; Cosenza, Marina</t>
  </si>
  <si>
    <t>Decision making, cognitive distortions and emotional distress: A comparison between pathological gamblers and healthy controls</t>
  </si>
  <si>
    <t>J Behav Ther Exp Psychiatry (Journal of Behavior Therapy and Experimental Psychiatry)</t>
  </si>
  <si>
    <t>54</t>
  </si>
  <si>
    <t>204–210</t>
  </si>
  <si>
    <t>10.1016/j.jbtep.2016.08.012</t>
  </si>
  <si>
    <t>089</t>
  </si>
  <si>
    <t>Dretsch, Michael N.; Tipples, Jason</t>
  </si>
  <si>
    <t>Working memory involved in predicting future outcomes based on past experiences</t>
  </si>
  <si>
    <t>66</t>
  </si>
  <si>
    <t>83–90</t>
  </si>
  <si>
    <t>10.1016/j.bandc.2007.05.006</t>
  </si>
  <si>
    <t>090</t>
  </si>
  <si>
    <t>Bangma, Dorien F.; Koerts, Janneke; Fuermaier, Anselm B. M.; Mette, Christian; Zimmermann, Marco; Toussaint, Anna K.; Tucha, Lara; Tucha, Oliver</t>
  </si>
  <si>
    <t>Financial decision-making in adults with ADHD</t>
  </si>
  <si>
    <t>1065–1077</t>
  </si>
  <si>
    <t>10.1037/neu0000571</t>
  </si>
  <si>
    <t>maximize monetary gain, minimize loss</t>
  </si>
  <si>
    <t>Becker et al 2014 for detailed description of methods</t>
  </si>
  <si>
    <t>2000 yen</t>
  </si>
  <si>
    <t>win as much money as possible, minimize loss</t>
  </si>
  <si>
    <t>250 yen</t>
  </si>
  <si>
    <t xml:space="preserve">no info about deck properties but results in money gain/loss indicate variations at least in amount of money gains/penalties </t>
  </si>
  <si>
    <t xml:space="preserve">finish task with 5000 $ </t>
  </si>
  <si>
    <t>original 1994 task applied</t>
  </si>
  <si>
    <t>win more than lose</t>
  </si>
  <si>
    <t>modified IGT</t>
  </si>
  <si>
    <t>200000 yen</t>
  </si>
  <si>
    <t>monetary reward or penalty</t>
  </si>
  <si>
    <t xml:space="preserve">-10000 yen </t>
  </si>
  <si>
    <t>-5000 yen</t>
  </si>
  <si>
    <t>25000 yen</t>
  </si>
  <si>
    <t>foregone payoff gambling task</t>
  </si>
  <si>
    <t>outcomes (win and penalty) from chosen deck as well as outcomes from the other 3 decks</t>
  </si>
  <si>
    <t>money won and money lost</t>
  </si>
  <si>
    <t xml:space="preserve">c37 was mentioned as dependent variable in the text but then not reported </t>
  </si>
  <si>
    <t>Bechara 2008</t>
  </si>
  <si>
    <t>amount of money won or lost; sound when picking a card; bar which increases/decreases with every loss or win</t>
  </si>
  <si>
    <t>2000 euros</t>
  </si>
  <si>
    <t>some decks are worse than others, stay away from the worse decks</t>
  </si>
  <si>
    <t>amount of money they had remaining after picking a card</t>
  </si>
  <si>
    <t>IGT was performed two times apparently (not very clear from text though)</t>
  </si>
  <si>
    <t>amount of money won and amount of money lost, if any; actual balance during the game</t>
  </si>
  <si>
    <t>instructions identical with the manual version (Bechara, Tranel et al. 2000)</t>
  </si>
  <si>
    <t>yes but not clear how many trials</t>
  </si>
  <si>
    <t>250 euros</t>
  </si>
  <si>
    <t>200 dinars</t>
  </si>
  <si>
    <t>5 dinars</t>
  </si>
  <si>
    <t>10 dinars</t>
  </si>
  <si>
    <t>E'F'G'H'</t>
  </si>
  <si>
    <t>win as much money as possible and avoid losing as much money as possible</t>
  </si>
  <si>
    <t>free to switch decks at any time; some decks are worse than others, you can win by avoiding the worst decks; cards are not random or changed in order</t>
  </si>
  <si>
    <t>-50 $</t>
  </si>
  <si>
    <t>-100 $</t>
  </si>
  <si>
    <t>E'F'G'H' version from Bechara 2000, negative IGT version where immediate losses were sometimes followed by gains</t>
  </si>
  <si>
    <t>negative version of IGT, where immediate losses were sometimes followed by gains</t>
  </si>
  <si>
    <t>Bechara &amp; Tranel are co-authors here</t>
  </si>
  <si>
    <t xml:space="preserve">50 $ </t>
  </si>
  <si>
    <t xml:space="preserve">version described in Overman 2004 </t>
  </si>
  <si>
    <t>amount of money lost and won, also smiley faces and bar with net win</t>
  </si>
  <si>
    <t>-50 pounds</t>
  </si>
  <si>
    <t>-100 pounds</t>
  </si>
  <si>
    <t>reversed (negative) IGT</t>
  </si>
  <si>
    <t>make decisions as if it were they're own money</t>
  </si>
  <si>
    <t>091</t>
  </si>
  <si>
    <t>Lawrence, Natalia S.; Jollant, Fabrice; O'Daly, Owen; Zelaya, Fernando; Phillips, Mary L.</t>
  </si>
  <si>
    <t>Distinct roles of prefrontal cortical subregions in the Iowa Gambling Task</t>
  </si>
  <si>
    <t>19</t>
  </si>
  <si>
    <t>1134–1143</t>
  </si>
  <si>
    <t>10.1093/cercor/bhn154</t>
  </si>
  <si>
    <t>092</t>
  </si>
  <si>
    <t>Soyata, Ahmet Zihni; Aksu, Serkan; Woods, Adam J.; İşçen, Pınar; Saçar, Kardelen Türkü; Karamürsel, Sacit</t>
  </si>
  <si>
    <t>Effect of transcranial direct current stimulation on decision making and cognitive flexibility in gambling disorder</t>
  </si>
  <si>
    <t>Eur Arch Psychiatry Clin Neurosci (European Archives of Psychiatry and Clinical Neuroscience)</t>
  </si>
  <si>
    <t>269</t>
  </si>
  <si>
    <t>275–284</t>
  </si>
  <si>
    <t>10.1007/s00406-018-0948-5</t>
  </si>
  <si>
    <t>093</t>
  </si>
  <si>
    <t>Rass, Olga; Umbricht, Annie; Bigelow, George E.; Strain, Eric C.; Johnson, Matthew W.; Mintzer, Miriam Z.</t>
  </si>
  <si>
    <t>Topiramate impairs cognitive function in methadone-maintained individuals with concurrent cocaine dependence</t>
  </si>
  <si>
    <t>Psychol Addict Behav (Psychology of Addictive Behaviors)</t>
  </si>
  <si>
    <t>29</t>
  </si>
  <si>
    <t>237–246</t>
  </si>
  <si>
    <t>10.1037/adb0000027</t>
  </si>
  <si>
    <t>095</t>
  </si>
  <si>
    <t>Cherkasova, Mariya V.; Clark, Luke; Barton, Jason J. S.; Schulzer, Michael; Shafiee, Mahsa; Kingstone, Alan; Stoessl, A. Jon; Winstanley, Catharine A.</t>
  </si>
  <si>
    <t>Win-concurrent sensory cues can promote riskier choice</t>
  </si>
  <si>
    <t>J Neurosci (The Journal of Neuroscience)</t>
  </si>
  <si>
    <t>38</t>
  </si>
  <si>
    <t>48</t>
  </si>
  <si>
    <t>10362–10370</t>
  </si>
  <si>
    <t>10.1523/JNEUROSCI.1171-18.2018</t>
  </si>
  <si>
    <t>096</t>
  </si>
  <si>
    <t>Killgore, William D. S .; Balkin, Thomas J. ..; Wsensten, Nancy J.</t>
  </si>
  <si>
    <t>Impaired decision making following 49 h of sleep deprivation</t>
  </si>
  <si>
    <t>J Sleep Res (Journal of Sleep Research)</t>
  </si>
  <si>
    <t>7–13</t>
  </si>
  <si>
    <t>10.1111/j.1365-2869.2006.00487.x</t>
  </si>
  <si>
    <t>097</t>
  </si>
  <si>
    <t>Auzou, Nicolas; Foubert-Samier, Alexandra; Dupouy, Sandrine; Meissner, Wassilios G.</t>
  </si>
  <si>
    <t>Facial emotion recognition is inversely correlated with tremor severity in essential tremor</t>
  </si>
  <si>
    <t>J Neural Transm (Journal of Neural Transmission)</t>
  </si>
  <si>
    <t>121</t>
  </si>
  <si>
    <t>347–351</t>
  </si>
  <si>
    <t>10.1007/s00702-013-1110-1</t>
  </si>
  <si>
    <t>098</t>
  </si>
  <si>
    <t>van den Eynde, Frédérique; Senturk, Vesile; Naudts, Kris; Vogels, Caroline; Bernagie, Katrien; Thas, Olivier; van Heeringen, Cornelis; Audenaert, Kurt</t>
  </si>
  <si>
    <t>Efficacy of quetiapine for impulsivity and affective symptoms in borderline personality disorder</t>
  </si>
  <si>
    <t>147–155</t>
  </si>
  <si>
    <t>10.1097/JCP.0b013e318166c4bf</t>
  </si>
  <si>
    <t>100</t>
  </si>
  <si>
    <t>O'Brien, Jessica W.; Lichenstein, Sarah D.; Hill, Shirley Y.</t>
  </si>
  <si>
    <t>Maladaptive decision making and substance use outcomes in high-risk individuals: Preliminary evidence for the role of 5-HTTLPR variation</t>
  </si>
  <si>
    <t>J Stud Alcohol Drugs (Journal of Studies on Alcohol and Drugs)</t>
  </si>
  <si>
    <t>75</t>
  </si>
  <si>
    <t>643–652</t>
  </si>
  <si>
    <t>10.15288/jsad.2014.75.643</t>
  </si>
  <si>
    <t>Denburg, Natalie L.; Recknor, Emily C.; Bechara, Antoine; Tranel, Daniel</t>
  </si>
  <si>
    <t>Psychophysiological anticipation of positive outcomes promotes advantageous decision-making in normal older persons</t>
  </si>
  <si>
    <t>Int J Psychophysiol (International Journal of Psychophysiology)</t>
  </si>
  <si>
    <t>61</t>
  </si>
  <si>
    <t>19–25</t>
  </si>
  <si>
    <t>10.1016/j.ijpsycho.2005.10.021</t>
  </si>
  <si>
    <t>103</t>
  </si>
  <si>
    <t>Ert, Eyal; Yechiam, Eldad; Arshavsky, Olga</t>
  </si>
  <si>
    <t>Smokers’ decision making: More than mere risk taking</t>
  </si>
  <si>
    <t>PLoS One (PLoS ONE)</t>
  </si>
  <si>
    <t>10.1371/journal.pone.0068064</t>
  </si>
  <si>
    <t>105</t>
  </si>
  <si>
    <t>Schellenberg, Benjamin J. I.; Bailis, Daniel S.</t>
  </si>
  <si>
    <t>When decisions are clouded by passion: A look at casino patrons</t>
  </si>
  <si>
    <t>Motivation Science</t>
  </si>
  <si>
    <t>274–279</t>
  </si>
  <si>
    <t>10.1037/mot0000086</t>
  </si>
  <si>
    <t>107</t>
  </si>
  <si>
    <t>Westheide, Jens; Wagner, Michael; Quednow, Boris B.; Hoppe, Christian; Cooper-Mahkorn, Déirdre; Strater, Birgitta; Maier, Wolfgang; Kuhn, Kai-Uwe</t>
  </si>
  <si>
    <t>Neuropsychological performance in partly remitted unipolar depressive patients: Focus on executive functioning</t>
  </si>
  <si>
    <t>257</t>
  </si>
  <si>
    <t>389–395</t>
  </si>
  <si>
    <t>10.1007/s00406-007-0740-4</t>
  </si>
  <si>
    <t>110</t>
  </si>
  <si>
    <t>West, Jeffrey T.; Horning, Sheena M.; Klebe, Kelli J.; Foster, Shannon M.; Cornwell, R. Elisabeth; Perrett, David; Burt, D. Michael; Davis, Hasker P.</t>
  </si>
  <si>
    <t>Age effects on emotion recognition in facial displays: From 20 to 89 years of age</t>
  </si>
  <si>
    <t>Exp Aging Res (Experimental Aging Research)</t>
  </si>
  <si>
    <t>146–168</t>
  </si>
  <si>
    <t>10.1080/0361073X.2012.659997</t>
  </si>
  <si>
    <t>113</t>
  </si>
  <si>
    <t>Franken, Ingmar H. A.; van Strien, Jan W.; Nijs, Ilse; Muris, Peter</t>
  </si>
  <si>
    <t>Impulsivity is associated with behavioral decision-making deficits</t>
  </si>
  <si>
    <t>158</t>
  </si>
  <si>
    <t>155–163</t>
  </si>
  <si>
    <t>10.1016/j.psychres.2007.06.002</t>
  </si>
  <si>
    <t>115</t>
  </si>
  <si>
    <t>Alm, Kylie H.; Rolheiser, Tyler; Mohamed, Feroze B.; Olson, Ingrid R.</t>
  </si>
  <si>
    <t>Fronto-temporal white matter connectivity predicts reversal learning errors</t>
  </si>
  <si>
    <t>Front Hum Neurosci (Frontiers in Human Neuroscience)</t>
  </si>
  <si>
    <t>116</t>
  </si>
  <si>
    <t>Kulkarni, Sandip; Jain, Sanjeev; Reddy, Y. C. Janardhan; Kumar, Keshav J.; Kandavel, Thennarasu</t>
  </si>
  <si>
    <t>Impairment of verbal learning and memory and executive function in unaffected siblings of probands with bipolar disorder</t>
  </si>
  <si>
    <t>Bipolar Disord (Bipolar Disorders)</t>
  </si>
  <si>
    <t>647–656</t>
  </si>
  <si>
    <t>10.1111/j.1399-5618.2010.00857.x</t>
  </si>
  <si>
    <t>117</t>
  </si>
  <si>
    <t>Toplak, Maggie E.; Jain, Umesh; Tannock, Rosemary</t>
  </si>
  <si>
    <t>Executive and motivational processes in adolescents with Attention-Deficit-Hyperactivity Disorder (ADHD)</t>
  </si>
  <si>
    <t>Behav Brain Funct (Behavioral and Brain Functions)</t>
  </si>
  <si>
    <t>10.1186/1744-9081-1-8</t>
  </si>
  <si>
    <t>Tenconi, Elena; Degortes, Daniela; Clementi, Maurizio; Collantoni, Enrico; Pinato, Claudia; Forzan, Monica; Cassina, Matteo; Santonastaso, Paolo; Favaro, Angela</t>
  </si>
  <si>
    <t>Clinical and genetic correlates of decision making in anorexia nervosa</t>
  </si>
  <si>
    <t>327–337</t>
  </si>
  <si>
    <t>10.1080/13803395.2015.1112878</t>
  </si>
  <si>
    <t>pick freely from any decks; computer does not make you lose money at random</t>
  </si>
  <si>
    <t>deck A was the same as deck B; deck C was the same as deck D; pure win and pure loss trials (no win AND loss with a card --&gt; not every card is with a win)</t>
  </si>
  <si>
    <t>money won or money lost</t>
  </si>
  <si>
    <t>3s</t>
  </si>
  <si>
    <t>Icellioglu 2015</t>
  </si>
  <si>
    <t>2000 liras</t>
  </si>
  <si>
    <t>50 liras</t>
  </si>
  <si>
    <t>100 liras</t>
  </si>
  <si>
    <t>250 liras</t>
  </si>
  <si>
    <t xml:space="preserve">total net winnings and overall net money gain don't really add up though??? </t>
  </si>
  <si>
    <t>with each card one can win or lose money; some decks are more advantageous than others</t>
  </si>
  <si>
    <t>frequency adv1 is no actual loss, but an 50% chance of 0$ outcome</t>
  </si>
  <si>
    <t>net gain or net loss; total earnings; also oictures and jingles when winning in one group, numerical in the other</t>
  </si>
  <si>
    <t>free to switch decks; won't know when game ends; some decks are worse than others, avoid those; no random loss from computer</t>
  </si>
  <si>
    <t>win as much money as possible, avoid losing as much money as possible</t>
  </si>
  <si>
    <t>Bechara 2007</t>
  </si>
  <si>
    <t>average losses and gains increase with every block of 10 cards --&gt; difference between expected values increases</t>
  </si>
  <si>
    <t>6 or 3</t>
  </si>
  <si>
    <t>10 or 20</t>
  </si>
  <si>
    <t>maximize profits</t>
  </si>
  <si>
    <t>amount of money won and lost</t>
  </si>
  <si>
    <t>modified IGT version described in detail by Quednow et al. 2007</t>
  </si>
  <si>
    <t>100 points</t>
  </si>
  <si>
    <t>200 points</t>
  </si>
  <si>
    <t>1600 points</t>
  </si>
  <si>
    <t>points</t>
  </si>
  <si>
    <t>switch decks as often as desired</t>
  </si>
  <si>
    <t>c49</t>
  </si>
  <si>
    <t>point values gained or lost; running total</t>
  </si>
  <si>
    <t>accrue as many points as possible</t>
  </si>
  <si>
    <t>choose freely from the decks; some decks are better than others, more points when identifying the better decks</t>
  </si>
  <si>
    <t>0.50 $</t>
  </si>
  <si>
    <t>1.00 $</t>
  </si>
  <si>
    <t>2.50 $</t>
  </si>
  <si>
    <t>choose the advantageous decks; no info about game end</t>
  </si>
  <si>
    <t>not very sure about the calc strats as it is not very clear what they did</t>
  </si>
  <si>
    <t>Gleichgerrcht, Ezequiel; Torralva, Teresa; Roca, María; Szenkman, Daniela; Ibanez, Agustin; Richly, Pablo; Pose, Mariángeles; Manes, Facundo</t>
  </si>
  <si>
    <t>Decision making cognition in primary progressive aphasia</t>
  </si>
  <si>
    <t>Behav Neurol (Behavioural Neurology)</t>
  </si>
  <si>
    <t>25</t>
  </si>
  <si>
    <t>45–52</t>
  </si>
  <si>
    <t>10.1155/2012/606285</t>
  </si>
  <si>
    <t>122</t>
  </si>
  <si>
    <t>Hermann, Derik; Leménager, Tagrid; Gelbke, Jan; Welzel, Helga; Skopp, Gisela; Mann, Karl</t>
  </si>
  <si>
    <t>Decision making of heavy cannabis users on the Iowa Gambling Task: Stronger association with THC of hair analysis than with personality traits of the Tridimensional Personality Questionnaire</t>
  </si>
  <si>
    <t>Eur Addict Res (European Addiction Research)</t>
  </si>
  <si>
    <t>94–98</t>
  </si>
  <si>
    <t>10.1159/000189788</t>
  </si>
  <si>
    <t>124</t>
  </si>
  <si>
    <t>Navas, Juan F.; Vilar-López, Raquel; Perales, José C.; Steward, Trevor; Fernández-Aranda, Fernando; Verdejo-García, Antonio</t>
  </si>
  <si>
    <t>Altered decision-making under risk in obesity</t>
  </si>
  <si>
    <t>10.1371/journal.pone.0155600</t>
  </si>
  <si>
    <t>126</t>
  </si>
  <si>
    <t>Whitney, Kriscinda A.; Fastenau, Philip S.; Evans, Jovier D.; Lysaker, Paul H.</t>
  </si>
  <si>
    <t>Comparative neuropsychological function in obsessive-compulsive disorder and schizophrenia with and without obsessive-compulsive symptoms</t>
  </si>
  <si>
    <t>69</t>
  </si>
  <si>
    <t>75–83</t>
  </si>
  <si>
    <t>10.1016/j.schres.2003.08.013</t>
  </si>
  <si>
    <t>127</t>
  </si>
  <si>
    <t>Delazer, Margarete; Högl, Birgit; Zamarian, Laura; Wenter, Johanna; Gschliesser, Viola; Ehrmann, Laura; Brandauer, Elisabeth; Cevikkol, Zehra; Frauscher, Birgit</t>
  </si>
  <si>
    <t>Executive functions, information sampling, and decision making in narcolepsy with cataplexy</t>
  </si>
  <si>
    <t>477–487</t>
  </si>
  <si>
    <t>10.1037/a0022357</t>
  </si>
  <si>
    <t>128</t>
  </si>
  <si>
    <t>Gianfranchi, Evelyn; Tagliabue, Mariaelena; Spoto, Andrea; Vidotto, Giulio</t>
  </si>
  <si>
    <t>Sensation seeking, non-contextual decision making, and driving abilities as measured through a moped simulator</t>
  </si>
  <si>
    <t>Front Psychol (Frontiers in Psychology)</t>
  </si>
  <si>
    <t>10.3389/fpsyg.2017.02126</t>
  </si>
  <si>
    <t>130</t>
  </si>
  <si>
    <t>Krawitz, Adam; Fukunaga, Rena; Brown, Joshua W.</t>
  </si>
  <si>
    <t>Anterior insula activity predicts the influence of positively framed messages on decision making</t>
  </si>
  <si>
    <t>Cogn Affect Behav Neurosci (Cognitive, Affective &amp; Behavioral Neuroscience)</t>
  </si>
  <si>
    <t>392–450</t>
  </si>
  <si>
    <t>10.3758/CABN.10.3.392</t>
  </si>
  <si>
    <t>131</t>
  </si>
  <si>
    <t>Levi, Marc D.; Nussbaum, David S.; Rich, Jill B.</t>
  </si>
  <si>
    <t>Neuropsychological and personality characteristics of predatory, irritable, and nonviolent offenders: Support for a typology of criminal human aggression</t>
  </si>
  <si>
    <t>Crim Justice Behav (Criminal Justice and Behavior)</t>
  </si>
  <si>
    <t>37</t>
  </si>
  <si>
    <t>633–655</t>
  </si>
  <si>
    <t>10.1177/0093854810362342</t>
  </si>
  <si>
    <t>132</t>
  </si>
  <si>
    <t>Mapelli, Daniela; Di Rosa, Elisa; Cavalletti, Matteo; Schiff, Sami; Tamburin, Stefano</t>
  </si>
  <si>
    <t>Decision and dopaminergic system: An ERPs study of Iowa gambling task in Parkinson’s disease</t>
  </si>
  <si>
    <t>10.3389/fpsyg.2014.00684</t>
  </si>
  <si>
    <t>Szasz, Paul Lucian; Hofmann, Stefan G.; Heilman, Renata M.; Curtiss, Joshua</t>
  </si>
  <si>
    <t>Effect of regulating anger and sadness on decision-making</t>
  </si>
  <si>
    <t>Cogn Behav Ther (Cognitive Behaviour Therapy)</t>
  </si>
  <si>
    <t>45</t>
  </si>
  <si>
    <t>479–495</t>
  </si>
  <si>
    <t>10.1080/16506073.2016.1203354</t>
  </si>
  <si>
    <t>134</t>
  </si>
  <si>
    <t>Lakey, Chad E.; Goodie, Adam S.; Campbell, W. Keith</t>
  </si>
  <si>
    <t>Frequent card playing and pathological gambling: The utility of the Georgia Gambling Task and Iowa Gambling Task for predicting pathology</t>
  </si>
  <si>
    <t>23</t>
  </si>
  <si>
    <t>285–297</t>
  </si>
  <si>
    <t>10.1007/s10899-006-9034-4</t>
  </si>
  <si>
    <t>135</t>
  </si>
  <si>
    <t>Suhr, Julie; Hammers, Dustin</t>
  </si>
  <si>
    <t>Who fails the Iowa Gambling Test (IGT)? Personality, neuropsychological, and near-infrared spectroscopy findings in healthy young controls</t>
  </si>
  <si>
    <t>293–302</t>
  </si>
  <si>
    <t>10.1093/arclin/acq017</t>
  </si>
  <si>
    <t>136</t>
  </si>
  <si>
    <t>Christakou, Anastasia; Gershman, Samuel J.; Niv, Yael; Simmons, Andrew; Brammer, Mick; Rubia, Katya</t>
  </si>
  <si>
    <t>Neural and psychological maturation of decision-making in adolescence and young adulthood</t>
  </si>
  <si>
    <t>J Cogn Neurosci (Journal of Cognitive Neuroscience)</t>
  </si>
  <si>
    <t>1807–1823</t>
  </si>
  <si>
    <t>10.1162/jocn_a_00447</t>
  </si>
  <si>
    <t>137</t>
  </si>
  <si>
    <t>He, Qinghua; Xue, Gui; Chen, Chuansheng; Lu, Zhonglin; Dong, Qi; Lei, Xuemei; Ding, Ni; Li, Jin; Li, He; Chen, Chunhui; Li, Jun; Moyzis, Robert K.; Bechara, Antoine</t>
  </si>
  <si>
    <t>Serotonin transporter gene-linked polymorphic region (5-HTTLPR) influences decision making under ambiguity and risk in a large Chinese sample</t>
  </si>
  <si>
    <t>59</t>
  </si>
  <si>
    <t>518–526</t>
  </si>
  <si>
    <t>10.1016/j.neuropharm.2010.07.008</t>
  </si>
  <si>
    <t>138</t>
  </si>
  <si>
    <t>Labudda, Kirsten; Frigge, Kristina; Horstmann, Simone; Aengenendt, Joerg; Woermann, Friedrich G.; Ebner, Alois; Markowitsch, Hans J.; Brand, Matthias</t>
  </si>
  <si>
    <t>Decision making in patients with temporal lobe epilepsy</t>
  </si>
  <si>
    <t>50–58</t>
  </si>
  <si>
    <t>10.1016/j.neuropsychologia.2008.08.014</t>
  </si>
  <si>
    <t>139</t>
  </si>
  <si>
    <t>Le Bas, Genevieve A.; Hughes, Melissa A.; Stout, Julie C.</t>
  </si>
  <si>
    <t>Utility of self-report and performance-based measures of risk for predicting driving behavior in young people</t>
  </si>
  <si>
    <t>Pers Individ Dif (Personality and Individual Differences)</t>
  </si>
  <si>
    <t>184–188</t>
  </si>
  <si>
    <t>10.1016/j.paid.2015.05.034</t>
  </si>
  <si>
    <t>Information regarding the trials is imprecise, blocks of trials 20-40, 40-60 are mentioned, which would create an overlap, elsewhere blocks of trials 21-40, 41-60. The last block is described as consisting of trials 80-100 as well as 'the last 20 cards' which would be wrong maths of course. I think that trials 81-100 are meant and therefore I code c36.</t>
  </si>
  <si>
    <t>explore the outcome of the different decks</t>
  </si>
  <si>
    <t xml:space="preserve">described is number of disadvantageous card selections (c03; c38) but the values look more like net scores (c01; c02) … </t>
  </si>
  <si>
    <t>some decks are better than others, avoid disadvantageous decks</t>
  </si>
  <si>
    <t>win and loss with each card</t>
  </si>
  <si>
    <t>1000 points</t>
  </si>
  <si>
    <t>net gain, draw or loss</t>
  </si>
  <si>
    <t>50 points</t>
  </si>
  <si>
    <t>250 points</t>
  </si>
  <si>
    <t>schedules as in Bechara 1994</t>
  </si>
  <si>
    <t>"a few"</t>
  </si>
  <si>
    <t>3 runs of the task with a different message each (see instructions), counterbalanced order of messages</t>
  </si>
  <si>
    <t>2 decks are advantageous and 2 are disadvantageous</t>
  </si>
  <si>
    <t>win or loss with each card; amount of total earnings during task</t>
  </si>
  <si>
    <t>sound indicating gain or loss; amount of money won or lost; total amount of earnings during task</t>
  </si>
  <si>
    <t>maximize wins, minimize losses</t>
  </si>
  <si>
    <t>win as much money as possible and lose as little as possible</t>
  </si>
  <si>
    <t>described in detail in Christakou, Brammer et al. 2009</t>
  </si>
  <si>
    <t xml:space="preserve">sample consisted in part of adolescents, but in the greater part of adults, thats why I did not exclude the study </t>
  </si>
  <si>
    <t>6s</t>
  </si>
  <si>
    <t>250 yuan</t>
  </si>
  <si>
    <t>choose one card at a time</t>
  </si>
  <si>
    <t>2000 yuan</t>
  </si>
  <si>
    <t>total amount of earnings</t>
  </si>
  <si>
    <t>win as much money as possible and lose as little as possible, maximize starting capital</t>
  </si>
  <si>
    <t>select cards in any order; some decks are better than others</t>
  </si>
  <si>
    <t>in text net score is described as disadvantageous card selections minus advantageous card selections, which is clearly a mistake</t>
  </si>
  <si>
    <t xml:space="preserve">no idea if I understood the strategies correctly, they don't really make sense </t>
  </si>
  <si>
    <t>Bechara 2000a</t>
  </si>
  <si>
    <t>Bechara 2000b</t>
  </si>
  <si>
    <t>Crone 2004</t>
  </si>
  <si>
    <t>Hernandez 2006</t>
  </si>
  <si>
    <t>comput</t>
  </si>
  <si>
    <t>Bechara 2001</t>
  </si>
  <si>
    <t>Christakou 2009</t>
  </si>
  <si>
    <t>Overman 2004</t>
  </si>
  <si>
    <t>Quednow 2007</t>
  </si>
  <si>
    <t>Windmann 2006</t>
  </si>
  <si>
    <t>Dunn 2006</t>
  </si>
  <si>
    <t>Mintzer 2002</t>
  </si>
  <si>
    <t>IGT procedure identical to Bechara 2000b</t>
  </si>
  <si>
    <t>procedure described in Bechara &amp; Martin 2004, this makes a reference to Bechara 2001, Bechara 2000b</t>
  </si>
  <si>
    <t>decks were shuffled</t>
  </si>
  <si>
    <t>IGT standard protocol Bechara 2000b</t>
  </si>
  <si>
    <t>programmed by one of the authors</t>
  </si>
  <si>
    <t>c01;c02</t>
  </si>
  <si>
    <t>c01;c02;c03;c04;c05</t>
  </si>
  <si>
    <t>c01;c06</t>
  </si>
  <si>
    <t>c07;c08</t>
  </si>
  <si>
    <t>c02;c04;c09</t>
  </si>
  <si>
    <t>c11;c12</t>
  </si>
  <si>
    <t>c13;c28</t>
  </si>
  <si>
    <t>c14;c15;c16;c17</t>
  </si>
  <si>
    <t>c01;c02;c13;c28</t>
  </si>
  <si>
    <t xml:space="preserve">c02;c18 </t>
  </si>
  <si>
    <t>c67;c68</t>
  </si>
  <si>
    <t>c01;c02;c04;c19</t>
  </si>
  <si>
    <t>c07;c29</t>
  </si>
  <si>
    <t>c04;c15;c22</t>
  </si>
  <si>
    <t>c01;c02;c29</t>
  </si>
  <si>
    <t>c23;c24;c25</t>
  </si>
  <si>
    <t>c01;c02;c22;c26;c27;c70</t>
  </si>
  <si>
    <t>c01;c04;c07;c28</t>
  </si>
  <si>
    <t>c01;c02;c13</t>
  </si>
  <si>
    <t>c02;c29</t>
  </si>
  <si>
    <t>c01;c04</t>
  </si>
  <si>
    <t>c30;c08;c32;c33;c04;c29</t>
  </si>
  <si>
    <t>c01;c02;c07</t>
  </si>
  <si>
    <t>c02;c34;c35</t>
  </si>
  <si>
    <t>c26;c37</t>
  </si>
  <si>
    <t>c03;c20;c01;c02;c05</t>
  </si>
  <si>
    <t>c03;c20;c26;c38</t>
  </si>
  <si>
    <t>c01;c39;c07</t>
  </si>
  <si>
    <t>c69;c40;c41;c31</t>
  </si>
  <si>
    <t>c04;c42;c43;c44;c07</t>
  </si>
  <si>
    <t>c26;c29</t>
  </si>
  <si>
    <t>c02;c36</t>
  </si>
  <si>
    <t>c03;c20</t>
  </si>
  <si>
    <t>c01;c02;c36;c04;c32;c33</t>
  </si>
  <si>
    <t>c45;c46;c47;c71</t>
  </si>
  <si>
    <t>c01;c02;c34;c07</t>
  </si>
  <si>
    <t>c01;c48</t>
  </si>
  <si>
    <t>c50;c51;c52</t>
  </si>
  <si>
    <t>c22;c01;c04</t>
  </si>
  <si>
    <t>c03;c20;c04;c07;c53;c54;c55;c56;c57</t>
  </si>
  <si>
    <t>c01;c02;c36</t>
  </si>
  <si>
    <t>c01;c03;c38</t>
  </si>
  <si>
    <t>c02;c58;c59;c60;c36;c61</t>
  </si>
  <si>
    <t>c01;c02;c28</t>
  </si>
  <si>
    <t>c62;c03;c20</t>
  </si>
  <si>
    <t>c03;c38;c02</t>
  </si>
  <si>
    <t>c63;c64</t>
  </si>
  <si>
    <t>c65;c66</t>
  </si>
  <si>
    <t>E-Prime 1.0</t>
  </si>
  <si>
    <t>Bechara 1994;Bechara 2000b</t>
  </si>
  <si>
    <t>Bechara 1994;Cauffman 2010</t>
  </si>
  <si>
    <t>Bechara 1994;van den Bos 2006</t>
  </si>
  <si>
    <t>Bechara 1994;Bechara 1997;Bechara 2000b</t>
  </si>
  <si>
    <t>Bechara 2001;Bechara &amp; Martin 2004</t>
  </si>
  <si>
    <t>Bechara 1994;Bechara 1997</t>
  </si>
  <si>
    <t>Bechara 1997;Bechara 2001</t>
  </si>
  <si>
    <t>Bechara 2007;Bechara 1994</t>
  </si>
  <si>
    <t>Bechara 1994;Schneider 2006</t>
  </si>
  <si>
    <t>Kobayakawa 2008;Bechara 1999</t>
  </si>
  <si>
    <t>Bechara 2007;Bechara 2000b</t>
  </si>
  <si>
    <t>MS Excel with VBA macros</t>
  </si>
  <si>
    <t>PAR Inc.</t>
  </si>
  <si>
    <t>Müller 2012, PEBL</t>
  </si>
  <si>
    <t>Busemeyer &amp; Stout 2002, v. 2.0</t>
  </si>
  <si>
    <t>E-Prime 2, Psychology Software Tools</t>
  </si>
  <si>
    <t>Grasman &amp; Wagenmakers 2005, DHTML implementation</t>
  </si>
  <si>
    <t>E-Prime 1.2, Psychology Software Tools</t>
  </si>
  <si>
    <t>0.25 $</t>
  </si>
  <si>
    <t>1.25 $</t>
  </si>
  <si>
    <t>patients with traumatic brain injury;clinical;brain</t>
  </si>
  <si>
    <t>patients with a first-episode of schizophrenia and healthy controls;clinical;schiz</t>
  </si>
  <si>
    <t>patients with ADHD and controls, of which some use cannabis, some don't;clinical;ADHD</t>
  </si>
  <si>
    <t>patients with Parkinson Disease;clinical;PD</t>
  </si>
  <si>
    <t>healthy volunteers;healthy;healthy</t>
  </si>
  <si>
    <t>participants from different countries, probably healthy;healthy;cultural</t>
  </si>
  <si>
    <t>cocaine dependent individuals and non-drug using controls;clinical;subst</t>
  </si>
  <si>
    <t>adult patients with ADHD;clinical;ADHD</t>
  </si>
  <si>
    <t>substance dependent individuals;clinical;subst</t>
  </si>
  <si>
    <t>university students;healthy;healthy</t>
  </si>
  <si>
    <t>females;healthy;healthy</t>
  </si>
  <si>
    <t>undergraduate college students with typical development (no ASD);healthy;healthy</t>
  </si>
  <si>
    <t>patients with focal frontal-brain lesions;clinical;brain</t>
  </si>
  <si>
    <t>patients with focal brain lesions;clinical;brain</t>
  </si>
  <si>
    <t>undergraduate students;healthy;healthy</t>
  </si>
  <si>
    <t>cocaine dependent individuals;clinical;subst</t>
  </si>
  <si>
    <t>abstinent male heroin users;clinical;subst</t>
  </si>
  <si>
    <t>patients with multiple sclerosis;clinical;MS</t>
  </si>
  <si>
    <t>healthy subjects;healthy;healthy</t>
  </si>
  <si>
    <t>first-year university students;healthy;healthy</t>
  </si>
  <si>
    <t>patients with substance use disorders and healthy controls;clinical;subst</t>
  </si>
  <si>
    <t>healthy young adults;healthy;healthy</t>
  </si>
  <si>
    <t>women with bulimia nervosa and controls;clinical;ED</t>
  </si>
  <si>
    <t>healthy participants;healthy;healthy</t>
  </si>
  <si>
    <t>young and mature adults;healthy;age</t>
  </si>
  <si>
    <t>adults with severe obesity;clinical;ED</t>
  </si>
  <si>
    <t>patients with bipolar disorder;clinical;BD</t>
  </si>
  <si>
    <t>patients with Parkinson Disease, with and without impulse control disorders;clinical;PD</t>
  </si>
  <si>
    <t>pathological gamblers and healthy controls;clinical;gambling</t>
  </si>
  <si>
    <t>drug-free gamblers;clinical;gambling</t>
  </si>
  <si>
    <t>older and younger adults;healthy;age</t>
  </si>
  <si>
    <t>heterosexual men;healthy;healthy</t>
  </si>
  <si>
    <t>younger and older adults;healthy;age</t>
  </si>
  <si>
    <t>participants with bipolar disorder;clinical;BD</t>
  </si>
  <si>
    <t>poly-substance using individuals;clinical;subst</t>
  </si>
  <si>
    <t>participants with restless legs syndrome;clinical;restless legs</t>
  </si>
  <si>
    <t>abstinent individuals with alcohol dependence and healthy controls;clinical;subst</t>
  </si>
  <si>
    <t>adolescent cannabis users and healthy controls;clinical;subst</t>
  </si>
  <si>
    <t>patients with parkinson's disease;clinical;PD</t>
  </si>
  <si>
    <t>Brazilian and American individuals;healthy;cultural</t>
  </si>
  <si>
    <t>patients with parkinson's disease and healthy controls;clinical;PD</t>
  </si>
  <si>
    <t>patients with ADHD and healthy controls;clinical;ADHD</t>
  </si>
  <si>
    <t>patients with hoarding disorder or OCD and healty controls;clinical;OCD</t>
  </si>
  <si>
    <t>patients with juvenile myoclonic epilepsy and healthy controls;clinical;epilepsy</t>
  </si>
  <si>
    <t>healthy undergraduate students;healthy;healthy</t>
  </si>
  <si>
    <t>MDMA users and non-drug using controls;clinical;subst</t>
  </si>
  <si>
    <t>participants with good and with poor cardiac perception;healthy;diff</t>
  </si>
  <si>
    <t>patients with eating disorders;clinical;ED</t>
  </si>
  <si>
    <t>young adults;healthy;healthy</t>
  </si>
  <si>
    <t>male pathological gamblers and male controls;clinical;gambling</t>
  </si>
  <si>
    <t>adults with ADHD and healthy controls;clinical;ADHD</t>
  </si>
  <si>
    <t>healthy male volunteers;healthy;healthy</t>
  </si>
  <si>
    <t>male participants with gambling disorder;clinical;gambling</t>
  </si>
  <si>
    <t>treatment-seeking patients with cocaine and opioid dependence;clinical;subst</t>
  </si>
  <si>
    <t>patients with essential tremor and healthy controls;clinical;tremor</t>
  </si>
  <si>
    <t>treatment-seeking patients with borderline personality disorder;clinical;BPD</t>
  </si>
  <si>
    <t>individuals with multiple alcohol-dependent relatives;clinical;risk</t>
  </si>
  <si>
    <t>healthy younger and older adults;healthy;age</t>
  </si>
  <si>
    <t>students, smokers and non-smokers;clinical;subst</t>
  </si>
  <si>
    <t>casino patrons;healthy;gambling</t>
  </si>
  <si>
    <t xml:space="preserve"> males with remitted major depression;clinical;DD</t>
  </si>
  <si>
    <t>undergraduate students and their older relatives;healthy;age</t>
  </si>
  <si>
    <t>undergraduate psychology students;healthy;healthy</t>
  </si>
  <si>
    <t>healthy individuals;healthy;healthy</t>
  </si>
  <si>
    <t>unaffected siblings of patients with bipolar disorder and healthy controls;clinical;risk</t>
  </si>
  <si>
    <t>participants with ADHD and healthy controls;clinical;ADHD</t>
  </si>
  <si>
    <t>women with anorexia nervosa and healthy controls;clinical;ED</t>
  </si>
  <si>
    <t>patients with primary progressive aphasia, patients with behavioral frontotemporal dementia and healthy controls;clinical;brain</t>
  </si>
  <si>
    <t>heavy cannabis users and controls;clinical;subst</t>
  </si>
  <si>
    <t>adults with normal weight, overweight and obesity;clinical;ED</t>
  </si>
  <si>
    <t>patients with schizophrenia or schizoaffective disorder with and witout OC symptoms and people with OCD;clinical;schiz</t>
  </si>
  <si>
    <t>patients with narcolepsy with cataplexy and healthy controls;clinical;narcolepsy</t>
  </si>
  <si>
    <t>male correctional residents (inmates);healthy;residents</t>
  </si>
  <si>
    <t>healthy male participants;healthy;healthy</t>
  </si>
  <si>
    <t>patients with refractory unilateral mesiotemporal lobe epilepsy and healthy controls;clinical;epilepsy</t>
  </si>
  <si>
    <t>young adults with driving licence;healthy;healthy</t>
  </si>
  <si>
    <t>white-European participants with no history of neurological or psychiatric disorder;healthy;healthy</t>
  </si>
  <si>
    <t>participants with different levels of trait anxiety;healthy;diff</t>
  </si>
  <si>
    <t>students with more or less risky driving behaviors;healthy;diff</t>
  </si>
  <si>
    <t>patients with schizophrenia;clinical;schiz</t>
  </si>
  <si>
    <t>patients with schizophrenia or schizoaffective disorder;clinical;schiz</t>
  </si>
  <si>
    <t>some decks are better than others OR decks C and D give more in the long run OR decks A and B give less in the long run</t>
  </si>
  <si>
    <t>Mueller 2012</t>
  </si>
  <si>
    <t>version described in Mintzer 2002</t>
  </si>
  <si>
    <t>version described by Windmann et al. 2006 was used, this refers to Bechara 2000b</t>
  </si>
  <si>
    <t>mod_pr</t>
  </si>
  <si>
    <t>mod_gls</t>
  </si>
  <si>
    <t>amount of point won or lost (card have either gain or penalty, not both)</t>
  </si>
  <si>
    <t>majority of materials and general task procedure were identical to the original IGT (1994)</t>
  </si>
  <si>
    <t>reward probabilites followed the standard IGT design</t>
  </si>
  <si>
    <t>gain loss schedule provided by PAR IGT</t>
  </si>
  <si>
    <t>computerized PAR IGT</t>
  </si>
  <si>
    <t>standard protocol 2000</t>
  </si>
  <si>
    <t>no info, no citation</t>
  </si>
  <si>
    <t>adapted online Italian version</t>
  </si>
  <si>
    <t>standard instructions</t>
  </si>
  <si>
    <t>general task procedure identical to 1994 task but decks are paired with black or white faces as stimuli</t>
  </si>
  <si>
    <t>modified 1994 task: participants decide to play or pass a card from a preselected deck rather than deciding to draw from any of the 4 decks</t>
  </si>
  <si>
    <t>PAR IGT but no info apart from that</t>
  </si>
  <si>
    <t>original human IGT, automated</t>
  </si>
  <si>
    <t>might be 2000 protocol, no modification mentioned, not very clearly described though, not even number of trials is mentioned</t>
  </si>
  <si>
    <t>original task described in 1994</t>
  </si>
  <si>
    <t>"procedure […] well documented" with citation of Bechara publications, so probably original task</t>
  </si>
  <si>
    <t>might be 1994 protocol, but it's not clearly stated</t>
  </si>
  <si>
    <t>might be in general 1994 protocol, though not clearly stated</t>
  </si>
  <si>
    <t>could be standard protocol 2000 but to much info missing, description is more general</t>
  </si>
  <si>
    <t>probably 1994 task but not clearly stated and too much info missing</t>
  </si>
  <si>
    <t>probably 2000 standard protocol</t>
  </si>
  <si>
    <t>hungy donkey task described in Crone 2004</t>
  </si>
  <si>
    <t xml:space="preserve">no info </t>
  </si>
  <si>
    <t>might be 1994 protocol, but it's not clearly stated and not much info</t>
  </si>
  <si>
    <t>original computerized version of the IGT (and follow-up with parallel version described in Hernandez 2006 to which I have no access)</t>
  </si>
  <si>
    <t>probably 1994 task but not clearly stated</t>
  </si>
  <si>
    <t>probably standard general procedure but modified reward schedules</t>
  </si>
  <si>
    <t xml:space="preserve">Müller PEBL version which is basically the original version </t>
  </si>
  <si>
    <t>no info really</t>
  </si>
  <si>
    <t>might be 1994 task but not clearly stated</t>
  </si>
  <si>
    <t>quite clearly 1994 task by description</t>
  </si>
  <si>
    <t xml:space="preserve">looks like original 1994 version, Busemeyer and Stout is cited </t>
  </si>
  <si>
    <t>modified IGT; 3 blocks of trials a 45 gambling trials and 13 control trials in which participant where told to choose from a specific deck</t>
  </si>
  <si>
    <t>no info</t>
  </si>
  <si>
    <t>not clear which version</t>
  </si>
  <si>
    <t>could be standard protocol but not really clear</t>
  </si>
  <si>
    <t>standardized computer-administered test, looks very much like 1994 version is meant</t>
  </si>
  <si>
    <t>could be 1994 version, not clearly stated though</t>
  </si>
  <si>
    <t>might be 2000 standard protocol</t>
  </si>
  <si>
    <t>clearly standard protocol 1994</t>
  </si>
  <si>
    <t>modified (number of trials), but not much info</t>
  </si>
  <si>
    <t>very little info, could be original 1994 task</t>
  </si>
  <si>
    <t>probably 1994 version, but not too clear</t>
  </si>
  <si>
    <t>japanese version, probably original 1994 task</t>
  </si>
  <si>
    <t>modified version: time component and goal of 5000 $ was set to elicit anxiety, IGT was meant as a low control task; incentives were independent from task success, but participants were told there were dependent (so I coded them as dependent)</t>
  </si>
  <si>
    <t>original task from 1994, translated</t>
  </si>
  <si>
    <t>PEBL task Müller, which is basically the original 1994 task</t>
  </si>
  <si>
    <t>PEBL Müller</t>
  </si>
  <si>
    <t>japanese version, EFGH</t>
  </si>
  <si>
    <t>foregone payoff task is a modified IGT which is only different in feedback given; feedback for all other decks is shown</t>
  </si>
  <si>
    <t>probably 1994 version, but not clearly stated</t>
  </si>
  <si>
    <t>clearly adapted in schedules, but not sure if this is true for general procedure</t>
  </si>
  <si>
    <t>might be 1994 protocol but not clearly stated</t>
  </si>
  <si>
    <t xml:space="preserve">"version of the original IGT" </t>
  </si>
  <si>
    <t>probably original 1994 task</t>
  </si>
  <si>
    <t>activation task in PET; version remains unclear but modified (exercise trials)</t>
  </si>
  <si>
    <t>original version 1994 but with dinars</t>
  </si>
  <si>
    <t>original version but with dinars</t>
  </si>
  <si>
    <t>EFGH version, but probably general procedure as usual</t>
  </si>
  <si>
    <t>probably original 1994 task, but not clearly stated</t>
  </si>
  <si>
    <t>reversed IGT, identical to Bechara 2000</t>
  </si>
  <si>
    <t>probably original 1994 IGT but not clearly stated</t>
  </si>
  <si>
    <t>modified version</t>
  </si>
  <si>
    <t>turkish adaption, probably original 1994 task in general, not really made clear though</t>
  </si>
  <si>
    <t>modified version described in Mintzer 2002 but no info as to how it was modified</t>
  </si>
  <si>
    <t xml:space="preserve">simplified outcome structure; cued and uncued task; no info about version </t>
  </si>
  <si>
    <t>might be standard protocol, not really clear though; very detailed info on instructions</t>
  </si>
  <si>
    <t>no info on version</t>
  </si>
  <si>
    <t>PAR version with provided reward schedule</t>
  </si>
  <si>
    <t>version remains unclear</t>
  </si>
  <si>
    <t>probably 1994 version</t>
  </si>
  <si>
    <t>modified IGT with reversal learning phase and 400 trials; after 200 trials the reward contingencies were reversed such that the advantageous decks became the disadvantageous decks and vice versa, the reversal phase lasted another 200 trials</t>
  </si>
  <si>
    <t>might be original 1994 version but it's not clearly stated</t>
  </si>
  <si>
    <t>Bechara 2001 version apparently</t>
  </si>
  <si>
    <t>might be 1994 task but no info on task</t>
  </si>
  <si>
    <t>Bechara 2000 version adopted</t>
  </si>
  <si>
    <t>version based on Bechara 1994</t>
  </si>
  <si>
    <t>modified, gain loss schedule as in Bechara 1994 though</t>
  </si>
  <si>
    <t>might be 1994 version but not clearly stated</t>
  </si>
  <si>
    <t>probably original 1994 version, but not made clear</t>
  </si>
  <si>
    <t>unclear which version</t>
  </si>
  <si>
    <t>quite clearly 2000 task by description</t>
  </si>
  <si>
    <t>modified version but not described as modified</t>
  </si>
  <si>
    <t>Neurobehavioral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</si>
</sst>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0\ &quot;€&quot;;[Red]\-#,##0\ &quot;€&quot;"/>
  </numFmts>
  <fonts count="4" x14ac:knownFonts="1">
    <font>
      <sz val="11"/>
      <color theme="1"/>
      <name val="Calibri"/>
      <family val="2"/>
      <scheme val="minor"/>
    </font>
    <font>
      <b/>
      <sz val="11"/>
      <color theme="1"/>
      <name val="Calibri"/>
      <family val="2"/>
      <scheme val="minor"/>
    </font>
    <font>
      <sz val="8"/>
      <name val="Calibri"/>
      <family val="2"/>
      <scheme val="minor"/>
    </font>
    <font>
      <sz val="10"/>
      <color rgb="FF000000"/>
      <name val="Arial"/>
      <family val="2"/>
    </font>
  </fonts>
  <fills count="14">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25">
    <xf numFmtId="0" fontId="0" fillId="0" borderId="0" xfId="0"/>
    <xf numFmtId="0" fontId="1" fillId="0" borderId="0" xfId="0" applyFont="1" applyBorder="1" applyAlignment="1">
      <alignment vertical="center"/>
    </xf>
    <xf numFmtId="0" fontId="0" fillId="8" borderId="1" xfId="0" applyFill="1" applyBorder="1"/>
    <xf numFmtId="0" fontId="0" fillId="9" borderId="1" xfId="0" applyFill="1" applyBorder="1"/>
    <xf numFmtId="0" fontId="0" fillId="10" borderId="1" xfId="0" applyFill="1" applyBorder="1"/>
    <xf numFmtId="0" fontId="0" fillId="11" borderId="1" xfId="0" applyFill="1" applyBorder="1"/>
    <xf numFmtId="0" fontId="0" fillId="13" borderId="1" xfId="0" applyFill="1" applyBorder="1"/>
    <xf numFmtId="0" fontId="0" fillId="12" borderId="1" xfId="0" applyFill="1" applyBorder="1"/>
    <xf numFmtId="0" fontId="1" fillId="2" borderId="1" xfId="0" applyFont="1" applyFill="1" applyBorder="1" applyAlignment="1">
      <alignment vertical="center"/>
    </xf>
    <xf numFmtId="0" fontId="1" fillId="3" borderId="1" xfId="0" applyFont="1" applyFill="1" applyBorder="1" applyAlignment="1">
      <alignment vertical="center"/>
    </xf>
    <xf numFmtId="0" fontId="1" fillId="4" borderId="1" xfId="0" applyFont="1" applyFill="1" applyBorder="1" applyAlignment="1">
      <alignment vertical="center"/>
    </xf>
    <xf numFmtId="0" fontId="1" fillId="5" borderId="1" xfId="0" applyFont="1" applyFill="1" applyBorder="1" applyAlignment="1">
      <alignment vertical="center"/>
    </xf>
    <xf numFmtId="0" fontId="1" fillId="6" borderId="1" xfId="0" applyFont="1" applyFill="1" applyBorder="1" applyAlignment="1">
      <alignment vertical="center"/>
    </xf>
    <xf numFmtId="0" fontId="1" fillId="7" borderId="1" xfId="0" applyFont="1" applyFill="1" applyBorder="1" applyAlignment="1">
      <alignment vertical="center"/>
    </xf>
    <xf numFmtId="49" fontId="0" fillId="8" borderId="1" xfId="0" applyNumberFormat="1" applyFill="1" applyBorder="1" applyAlignment="1">
      <alignment horizontal="right"/>
    </xf>
    <xf numFmtId="6" fontId="0" fillId="10" borderId="1" xfId="0" applyNumberFormat="1" applyFill="1" applyBorder="1"/>
    <xf numFmtId="9" fontId="0" fillId="11" borderId="1" xfId="0" applyNumberFormat="1" applyFill="1" applyBorder="1"/>
    <xf numFmtId="0" fontId="0" fillId="13" borderId="1" xfId="0" applyFill="1" applyBorder="1" applyAlignment="1">
      <alignment horizontal="right"/>
    </xf>
    <xf numFmtId="0" fontId="0" fillId="11" borderId="1" xfId="0" applyNumberFormat="1" applyFill="1" applyBorder="1"/>
    <xf numFmtId="49" fontId="0" fillId="11" borderId="1" xfId="0" applyNumberFormat="1" applyFill="1" applyBorder="1"/>
    <xf numFmtId="0" fontId="0" fillId="10" borderId="1" xfId="0" applyFill="1" applyBorder="1" applyAlignment="1">
      <alignment horizontal="right"/>
    </xf>
    <xf numFmtId="0" fontId="0" fillId="11" borderId="1" xfId="0" applyFill="1" applyBorder="1" applyAlignment="1"/>
    <xf numFmtId="0" fontId="0" fillId="10" borderId="1" xfId="0" applyFill="1" applyBorder="1" applyAlignment="1"/>
    <xf numFmtId="0" fontId="0" fillId="0" borderId="0" xfId="0" applyFill="1"/>
    <xf numFmtId="0" fontId="0" fillId="10" borderId="0" xfId="0" applyFill="1"/>
  </cellXfs>
  <cellStyles count="2">
    <cellStyle name="Normal" xfId="1" xr:uid="{F20FCBFB-9361-4E0E-8FAD-2EEADADC75D9}"/>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Benutzerdefiniert 12">
      <a:dk1>
        <a:srgbClr val="000000"/>
      </a:dk1>
      <a:lt1>
        <a:sysClr val="window" lastClr="FFFFFF"/>
      </a:lt1>
      <a:dk2>
        <a:srgbClr val="5E5E5E"/>
      </a:dk2>
      <a:lt2>
        <a:srgbClr val="DDDDDD"/>
      </a:lt2>
      <a:accent1>
        <a:srgbClr val="34C0B9"/>
      </a:accent1>
      <a:accent2>
        <a:srgbClr val="A6B727"/>
      </a:accent2>
      <a:accent3>
        <a:srgbClr val="FEC306"/>
      </a:accent3>
      <a:accent4>
        <a:srgbClr val="F68A1E"/>
      </a:accent4>
      <a:accent5>
        <a:srgbClr val="E85659"/>
      </a:accent5>
      <a:accent6>
        <a:srgbClr val="B347AB"/>
      </a:accent6>
      <a:hlink>
        <a:srgbClr val="3F42BF"/>
      </a:hlink>
      <a:folHlink>
        <a:srgbClr val="B2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F8A6B-9C5F-4EF5-8A73-AF13779F5B26}">
  <dimension ref="A1:BA101"/>
  <sheetViews>
    <sheetView tabSelected="1" zoomScaleNormal="100" workbookViewId="0">
      <pane xSplit="1" topLeftCell="AS1" activePane="topRight" state="frozen"/>
      <selection pane="topRight" activeCell="BD11" sqref="BD11"/>
    </sheetView>
  </sheetViews>
  <sheetFormatPr baseColWidth="10" defaultRowHeight="15" x14ac:dyDescent="0.25"/>
  <cols>
    <col min="2" max="2" width="22.28515625" customWidth="1"/>
    <col min="27" max="27" width="11.42578125" style="23"/>
    <col min="33" max="33" width="14.140625" customWidth="1"/>
    <col min="34" max="34" width="15.42578125" customWidth="1"/>
    <col min="45" max="45" width="13.5703125" customWidth="1"/>
    <col min="46" max="46" width="13" customWidth="1"/>
    <col min="53" max="53" width="18.28515625" customWidth="1"/>
  </cols>
  <sheetData>
    <row r="1" spans="1:53" s="1" customFormat="1" ht="20.100000000000001" customHeight="1" x14ac:dyDescent="0.25">
      <c r="A1" s="8" t="s">
        <v>0</v>
      </c>
      <c r="B1" s="8" t="s">
        <v>1</v>
      </c>
      <c r="C1" s="8" t="s">
        <v>2</v>
      </c>
      <c r="D1" s="8" t="s">
        <v>3</v>
      </c>
      <c r="E1" s="8" t="s">
        <v>4</v>
      </c>
      <c r="F1" s="8" t="s">
        <v>5</v>
      </c>
      <c r="G1" s="8" t="s">
        <v>6</v>
      </c>
      <c r="H1" s="8" t="s">
        <v>7</v>
      </c>
      <c r="I1" s="8" t="s">
        <v>8</v>
      </c>
      <c r="J1" s="9" t="s">
        <v>9</v>
      </c>
      <c r="K1" s="9" t="s">
        <v>10</v>
      </c>
      <c r="L1" s="9" t="s">
        <v>11</v>
      </c>
      <c r="M1" s="9" t="s">
        <v>12</v>
      </c>
      <c r="N1" s="9" t="s">
        <v>13</v>
      </c>
      <c r="O1" s="10" t="s">
        <v>14</v>
      </c>
      <c r="P1" s="10" t="s">
        <v>883</v>
      </c>
      <c r="Q1" s="10" t="s">
        <v>15</v>
      </c>
      <c r="R1" s="10" t="s">
        <v>16</v>
      </c>
      <c r="S1" s="10" t="s">
        <v>17</v>
      </c>
      <c r="T1" s="10" t="s">
        <v>18</v>
      </c>
      <c r="U1" s="10" t="s">
        <v>19</v>
      </c>
      <c r="V1" s="10" t="s">
        <v>20</v>
      </c>
      <c r="W1" s="10" t="s">
        <v>21</v>
      </c>
      <c r="X1" s="10" t="s">
        <v>22</v>
      </c>
      <c r="Y1" s="10" t="s">
        <v>23</v>
      </c>
      <c r="Z1" s="10" t="s">
        <v>24</v>
      </c>
      <c r="AA1" s="10" t="s">
        <v>43</v>
      </c>
      <c r="AB1" s="10" t="s">
        <v>1050</v>
      </c>
      <c r="AC1" s="11" t="s">
        <v>25</v>
      </c>
      <c r="AD1" s="11" t="s">
        <v>26</v>
      </c>
      <c r="AE1" s="11" t="s">
        <v>27</v>
      </c>
      <c r="AF1" s="11" t="s">
        <v>28</v>
      </c>
      <c r="AG1" s="11" t="s">
        <v>29</v>
      </c>
      <c r="AH1" s="11" t="s">
        <v>30</v>
      </c>
      <c r="AI1" s="11" t="s">
        <v>31</v>
      </c>
      <c r="AJ1" s="11" t="s">
        <v>32</v>
      </c>
      <c r="AK1" s="11" t="s">
        <v>33</v>
      </c>
      <c r="AL1" s="11" t="s">
        <v>34</v>
      </c>
      <c r="AM1" s="11" t="s">
        <v>35</v>
      </c>
      <c r="AN1" s="11" t="s">
        <v>36</v>
      </c>
      <c r="AO1" s="11" t="s">
        <v>37</v>
      </c>
      <c r="AP1" s="11" t="s">
        <v>38</v>
      </c>
      <c r="AQ1" s="11" t="s">
        <v>39</v>
      </c>
      <c r="AR1" s="11" t="s">
        <v>40</v>
      </c>
      <c r="AS1" s="11" t="s">
        <v>41</v>
      </c>
      <c r="AT1" s="11" t="s">
        <v>42</v>
      </c>
      <c r="AU1" s="11" t="s">
        <v>43</v>
      </c>
      <c r="AV1" s="11" t="s">
        <v>1051</v>
      </c>
      <c r="AW1" s="12" t="s">
        <v>44</v>
      </c>
      <c r="AX1" s="12" t="s">
        <v>45</v>
      </c>
      <c r="AY1" s="12" t="s">
        <v>46</v>
      </c>
      <c r="AZ1" s="12" t="s">
        <v>47</v>
      </c>
      <c r="BA1" s="13" t="s">
        <v>48</v>
      </c>
    </row>
    <row r="2" spans="1:53" x14ac:dyDescent="0.25">
      <c r="A2" s="14" t="s">
        <v>52</v>
      </c>
      <c r="B2" s="2" t="s">
        <v>53</v>
      </c>
      <c r="C2" s="2" t="s">
        <v>54</v>
      </c>
      <c r="D2" s="2" t="s">
        <v>55</v>
      </c>
      <c r="E2" s="2" t="s">
        <v>56</v>
      </c>
      <c r="F2" s="2" t="s">
        <v>57</v>
      </c>
      <c r="G2" s="2" t="s">
        <v>58</v>
      </c>
      <c r="H2" s="2" t="s">
        <v>59</v>
      </c>
      <c r="I2" s="2" t="s">
        <v>60</v>
      </c>
      <c r="J2" s="3">
        <v>1</v>
      </c>
      <c r="K2" s="3">
        <v>-99</v>
      </c>
      <c r="L2" s="3" t="s">
        <v>965</v>
      </c>
      <c r="M2" s="3">
        <v>115</v>
      </c>
      <c r="N2" s="3">
        <v>0</v>
      </c>
      <c r="O2" s="4" t="s">
        <v>880</v>
      </c>
      <c r="P2" s="4">
        <v>-77</v>
      </c>
      <c r="Q2" s="4">
        <v>0</v>
      </c>
      <c r="R2" s="4" t="s">
        <v>156</v>
      </c>
      <c r="S2" s="4" t="s">
        <v>157</v>
      </c>
      <c r="T2" s="4" t="s">
        <v>158</v>
      </c>
      <c r="U2" s="4" t="s">
        <v>159</v>
      </c>
      <c r="V2" s="4">
        <v>-77</v>
      </c>
      <c r="W2" s="4">
        <v>-77</v>
      </c>
      <c r="X2" s="4">
        <v>100</v>
      </c>
      <c r="Y2" s="4">
        <v>0</v>
      </c>
      <c r="Z2" s="4">
        <v>-77</v>
      </c>
      <c r="AA2" s="4" t="s">
        <v>1057</v>
      </c>
      <c r="AB2" s="4">
        <v>0</v>
      </c>
      <c r="AC2" s="5">
        <v>4</v>
      </c>
      <c r="AD2" s="5">
        <v>2</v>
      </c>
      <c r="AE2" s="5">
        <v>2</v>
      </c>
      <c r="AF2" s="5">
        <v>-77</v>
      </c>
      <c r="AG2" s="5">
        <v>-77</v>
      </c>
      <c r="AH2" s="5">
        <v>-77</v>
      </c>
      <c r="AI2" s="5">
        <v>-77</v>
      </c>
      <c r="AJ2" s="5">
        <v>-77</v>
      </c>
      <c r="AK2" s="5">
        <v>-77</v>
      </c>
      <c r="AL2" s="5">
        <v>-77</v>
      </c>
      <c r="AM2" s="5">
        <v>-77</v>
      </c>
      <c r="AN2" s="5">
        <v>-77</v>
      </c>
      <c r="AO2" s="5">
        <v>-77</v>
      </c>
      <c r="AP2" s="5">
        <v>-77</v>
      </c>
      <c r="AQ2" s="5">
        <v>-77</v>
      </c>
      <c r="AR2" s="5">
        <v>-77</v>
      </c>
      <c r="AS2" s="5">
        <v>-77</v>
      </c>
      <c r="AT2" s="5">
        <v>-77</v>
      </c>
      <c r="AU2" s="5">
        <v>-99</v>
      </c>
      <c r="AV2" s="5">
        <v>-77</v>
      </c>
      <c r="AW2" s="6">
        <v>5</v>
      </c>
      <c r="AX2" s="6">
        <v>20</v>
      </c>
      <c r="AY2" s="6">
        <v>2</v>
      </c>
      <c r="AZ2" s="6" t="s">
        <v>896</v>
      </c>
      <c r="BA2" s="7" t="s">
        <v>877</v>
      </c>
    </row>
    <row r="3" spans="1:53" x14ac:dyDescent="0.25">
      <c r="A3" s="14" t="s">
        <v>61</v>
      </c>
      <c r="B3" s="2" t="s">
        <v>62</v>
      </c>
      <c r="C3" s="2" t="s">
        <v>63</v>
      </c>
      <c r="D3" s="2" t="s">
        <v>64</v>
      </c>
      <c r="E3" s="2" t="s">
        <v>65</v>
      </c>
      <c r="F3" s="2" t="s">
        <v>66</v>
      </c>
      <c r="G3" s="2" t="s">
        <v>67</v>
      </c>
      <c r="H3" s="2" t="s">
        <v>68</v>
      </c>
      <c r="I3" s="2" t="s">
        <v>69</v>
      </c>
      <c r="J3" s="3">
        <v>1</v>
      </c>
      <c r="K3" s="3">
        <v>-99</v>
      </c>
      <c r="L3" s="3" t="s">
        <v>966</v>
      </c>
      <c r="M3" s="3">
        <v>102</v>
      </c>
      <c r="N3" s="3">
        <v>0</v>
      </c>
      <c r="O3" s="4" t="s">
        <v>155</v>
      </c>
      <c r="P3" s="4">
        <v>-77</v>
      </c>
      <c r="Q3" s="4">
        <v>0</v>
      </c>
      <c r="R3" s="4" t="s">
        <v>156</v>
      </c>
      <c r="S3" s="4">
        <v>-77</v>
      </c>
      <c r="T3" s="4" t="s">
        <v>162</v>
      </c>
      <c r="U3" s="4">
        <v>-77</v>
      </c>
      <c r="V3" s="4">
        <v>-77</v>
      </c>
      <c r="W3" s="4">
        <v>-77</v>
      </c>
      <c r="X3" s="4">
        <v>100</v>
      </c>
      <c r="Y3" s="4">
        <v>0</v>
      </c>
      <c r="Z3" s="4">
        <v>-77</v>
      </c>
      <c r="AA3" s="24" t="s">
        <v>1068</v>
      </c>
      <c r="AB3" s="4">
        <v>-77</v>
      </c>
      <c r="AC3" s="5">
        <v>4</v>
      </c>
      <c r="AD3" s="5">
        <v>2</v>
      </c>
      <c r="AE3" s="5">
        <v>2</v>
      </c>
      <c r="AF3" s="5">
        <v>-77</v>
      </c>
      <c r="AG3" s="5">
        <v>-77</v>
      </c>
      <c r="AH3" s="5">
        <v>-77</v>
      </c>
      <c r="AI3" s="5">
        <v>-77</v>
      </c>
      <c r="AJ3" s="5">
        <v>-77</v>
      </c>
      <c r="AK3" s="5">
        <v>-77</v>
      </c>
      <c r="AL3" s="5">
        <v>-77</v>
      </c>
      <c r="AM3" s="5">
        <v>-77</v>
      </c>
      <c r="AN3" s="5">
        <v>-77</v>
      </c>
      <c r="AO3" s="5">
        <v>-77</v>
      </c>
      <c r="AP3" s="5">
        <v>-77</v>
      </c>
      <c r="AQ3" s="5">
        <v>-77</v>
      </c>
      <c r="AR3" s="5">
        <v>-77</v>
      </c>
      <c r="AS3" s="5">
        <v>-77</v>
      </c>
      <c r="AT3" s="5">
        <v>-77</v>
      </c>
      <c r="AU3" s="5">
        <v>-99</v>
      </c>
      <c r="AV3" s="5">
        <v>-77</v>
      </c>
      <c r="AW3" s="6">
        <v>5</v>
      </c>
      <c r="AX3" s="6">
        <v>20</v>
      </c>
      <c r="AY3" s="6">
        <v>5</v>
      </c>
      <c r="AZ3" s="6" t="s">
        <v>897</v>
      </c>
      <c r="BA3" s="7">
        <v>-99</v>
      </c>
    </row>
    <row r="4" spans="1:53" x14ac:dyDescent="0.25">
      <c r="A4" s="14" t="s">
        <v>304</v>
      </c>
      <c r="B4" s="2" t="s">
        <v>305</v>
      </c>
      <c r="C4" s="2" t="s">
        <v>70</v>
      </c>
      <c r="D4" s="2" t="s">
        <v>306</v>
      </c>
      <c r="E4" s="2" t="s">
        <v>71</v>
      </c>
      <c r="F4" s="2" t="s">
        <v>72</v>
      </c>
      <c r="G4" s="2" t="s">
        <v>73</v>
      </c>
      <c r="H4" s="2" t="s">
        <v>307</v>
      </c>
      <c r="I4" s="2" t="s">
        <v>308</v>
      </c>
      <c r="J4" s="3">
        <v>1</v>
      </c>
      <c r="K4" s="3">
        <v>-99</v>
      </c>
      <c r="L4" s="3" t="s">
        <v>967</v>
      </c>
      <c r="M4" s="3">
        <f>87+41</f>
        <v>128</v>
      </c>
      <c r="N4" s="3">
        <v>0</v>
      </c>
      <c r="O4" s="4" t="s">
        <v>155</v>
      </c>
      <c r="P4" s="4">
        <v>-77</v>
      </c>
      <c r="Q4" s="4">
        <v>0</v>
      </c>
      <c r="R4" s="4" t="s">
        <v>156</v>
      </c>
      <c r="S4" s="4" t="s">
        <v>157</v>
      </c>
      <c r="T4" s="4" t="s">
        <v>162</v>
      </c>
      <c r="U4" s="4">
        <v>-77</v>
      </c>
      <c r="V4" s="4">
        <v>-77</v>
      </c>
      <c r="W4" s="4">
        <v>-77</v>
      </c>
      <c r="X4" s="4">
        <v>100</v>
      </c>
      <c r="Y4" s="4">
        <v>0</v>
      </c>
      <c r="Z4" s="4">
        <v>-77</v>
      </c>
      <c r="AA4" s="4" t="s">
        <v>1068</v>
      </c>
      <c r="AB4" s="4">
        <v>-77</v>
      </c>
      <c r="AC4" s="5">
        <v>4</v>
      </c>
      <c r="AD4" s="5">
        <v>2</v>
      </c>
      <c r="AE4" s="5">
        <v>2</v>
      </c>
      <c r="AF4" s="5">
        <v>-77</v>
      </c>
      <c r="AG4" s="5">
        <v>-77</v>
      </c>
      <c r="AH4" s="5">
        <v>-77</v>
      </c>
      <c r="AI4" s="5">
        <v>-77</v>
      </c>
      <c r="AJ4" s="5">
        <v>-77</v>
      </c>
      <c r="AK4" s="5">
        <v>-77</v>
      </c>
      <c r="AL4" s="5">
        <v>-77</v>
      </c>
      <c r="AM4" s="5">
        <v>-77</v>
      </c>
      <c r="AN4" s="5">
        <v>-77</v>
      </c>
      <c r="AO4" s="5">
        <v>-77</v>
      </c>
      <c r="AP4" s="5">
        <v>-77</v>
      </c>
      <c r="AQ4" s="5">
        <v>-77</v>
      </c>
      <c r="AR4" s="5">
        <v>-77</v>
      </c>
      <c r="AS4" s="5">
        <v>-77</v>
      </c>
      <c r="AT4" s="5">
        <v>-77</v>
      </c>
      <c r="AU4" s="5">
        <v>-99</v>
      </c>
      <c r="AV4" s="5">
        <v>-77</v>
      </c>
      <c r="AW4" s="6">
        <v>-99</v>
      </c>
      <c r="AX4" s="6">
        <v>-99</v>
      </c>
      <c r="AY4" s="6">
        <v>1</v>
      </c>
      <c r="AZ4" s="6" t="s">
        <v>160</v>
      </c>
      <c r="BA4" s="7">
        <v>-99</v>
      </c>
    </row>
    <row r="5" spans="1:53" x14ac:dyDescent="0.25">
      <c r="A5" s="14" t="s">
        <v>74</v>
      </c>
      <c r="B5" s="2" t="s">
        <v>75</v>
      </c>
      <c r="C5" s="2" t="s">
        <v>76</v>
      </c>
      <c r="D5" s="2" t="s">
        <v>77</v>
      </c>
      <c r="E5" s="2" t="s">
        <v>78</v>
      </c>
      <c r="F5" s="2" t="s">
        <v>79</v>
      </c>
      <c r="G5" s="2" t="s">
        <v>80</v>
      </c>
      <c r="H5" s="2" t="s">
        <v>81</v>
      </c>
      <c r="I5" s="2" t="s">
        <v>82</v>
      </c>
      <c r="J5" s="3">
        <v>1</v>
      </c>
      <c r="K5" s="3">
        <v>-99</v>
      </c>
      <c r="L5" s="3" t="s">
        <v>1044</v>
      </c>
      <c r="M5" s="3">
        <v>10</v>
      </c>
      <c r="N5" s="3">
        <v>0</v>
      </c>
      <c r="O5" s="4">
        <v>-77</v>
      </c>
      <c r="P5" s="4">
        <v>-77</v>
      </c>
      <c r="Q5" s="4">
        <v>-77</v>
      </c>
      <c r="R5" s="4">
        <v>-77</v>
      </c>
      <c r="S5" s="4">
        <v>-77</v>
      </c>
      <c r="T5" s="4">
        <v>-77</v>
      </c>
      <c r="U5" s="4">
        <v>-77</v>
      </c>
      <c r="V5" s="4">
        <v>-77</v>
      </c>
      <c r="W5" s="4">
        <v>-77</v>
      </c>
      <c r="X5" s="4">
        <v>-77</v>
      </c>
      <c r="Y5" s="4">
        <v>-77</v>
      </c>
      <c r="Z5" s="4">
        <v>-77</v>
      </c>
      <c r="AA5" s="4" t="s">
        <v>1058</v>
      </c>
      <c r="AB5" s="4">
        <v>-77</v>
      </c>
      <c r="AC5" s="5">
        <v>-77</v>
      </c>
      <c r="AD5" s="5">
        <v>-77</v>
      </c>
      <c r="AE5" s="5">
        <v>-77</v>
      </c>
      <c r="AF5" s="5">
        <v>-77</v>
      </c>
      <c r="AG5" s="5">
        <v>-77</v>
      </c>
      <c r="AH5" s="5">
        <v>-77</v>
      </c>
      <c r="AI5" s="5">
        <v>-77</v>
      </c>
      <c r="AJ5" s="5">
        <v>-77</v>
      </c>
      <c r="AK5" s="5">
        <v>-77</v>
      </c>
      <c r="AL5" s="5">
        <v>-77</v>
      </c>
      <c r="AM5" s="5">
        <v>-77</v>
      </c>
      <c r="AN5" s="5">
        <v>-77</v>
      </c>
      <c r="AO5" s="5">
        <v>-77</v>
      </c>
      <c r="AP5" s="5">
        <v>-77</v>
      </c>
      <c r="AQ5" s="5">
        <v>-77</v>
      </c>
      <c r="AR5" s="5">
        <v>-77</v>
      </c>
      <c r="AS5" s="5">
        <v>-77</v>
      </c>
      <c r="AT5" s="5">
        <v>-77</v>
      </c>
      <c r="AU5" s="5">
        <v>-99</v>
      </c>
      <c r="AV5" s="5">
        <v>-77</v>
      </c>
      <c r="AW5" s="6">
        <v>-99</v>
      </c>
      <c r="AX5" s="6">
        <v>-99</v>
      </c>
      <c r="AY5" s="6">
        <v>2</v>
      </c>
      <c r="AZ5" s="6" t="s">
        <v>898</v>
      </c>
      <c r="BA5" s="7">
        <v>-99</v>
      </c>
    </row>
    <row r="6" spans="1:53" x14ac:dyDescent="0.25">
      <c r="A6" s="14" t="s">
        <v>84</v>
      </c>
      <c r="B6" s="2" t="s">
        <v>85</v>
      </c>
      <c r="C6" s="2" t="s">
        <v>86</v>
      </c>
      <c r="D6" s="2" t="s">
        <v>87</v>
      </c>
      <c r="E6" s="2" t="s">
        <v>88</v>
      </c>
      <c r="F6" s="2" t="s">
        <v>89</v>
      </c>
      <c r="G6" s="2"/>
      <c r="H6" s="2" t="s">
        <v>90</v>
      </c>
      <c r="I6" s="2" t="s">
        <v>91</v>
      </c>
      <c r="J6" s="3">
        <v>1</v>
      </c>
      <c r="K6" s="3">
        <v>-99</v>
      </c>
      <c r="L6" s="3" t="s">
        <v>968</v>
      </c>
      <c r="M6" s="3">
        <v>48</v>
      </c>
      <c r="N6" s="3">
        <v>0</v>
      </c>
      <c r="O6" s="4" t="s">
        <v>155</v>
      </c>
      <c r="P6" s="4">
        <v>-77</v>
      </c>
      <c r="Q6" s="4">
        <v>0</v>
      </c>
      <c r="R6" s="4" t="s">
        <v>156</v>
      </c>
      <c r="S6" s="4">
        <v>-77</v>
      </c>
      <c r="T6" s="4" t="s">
        <v>167</v>
      </c>
      <c r="U6" s="4" t="s">
        <v>1060</v>
      </c>
      <c r="V6" s="4" t="s">
        <v>168</v>
      </c>
      <c r="W6" s="4">
        <v>-77</v>
      </c>
      <c r="X6" s="4">
        <v>100</v>
      </c>
      <c r="Y6" s="4">
        <v>0</v>
      </c>
      <c r="Z6" s="4">
        <v>-77</v>
      </c>
      <c r="AA6" s="4" t="s">
        <v>1059</v>
      </c>
      <c r="AB6" s="4">
        <v>-77</v>
      </c>
      <c r="AC6" s="5">
        <v>4</v>
      </c>
      <c r="AD6" s="5">
        <v>2</v>
      </c>
      <c r="AE6" s="5">
        <v>2</v>
      </c>
      <c r="AF6" s="5">
        <v>-77</v>
      </c>
      <c r="AG6" s="5">
        <v>-77</v>
      </c>
      <c r="AH6" s="5">
        <v>-77</v>
      </c>
      <c r="AI6" s="5">
        <v>-77</v>
      </c>
      <c r="AJ6" s="5">
        <v>-77</v>
      </c>
      <c r="AK6" s="5">
        <v>-77</v>
      </c>
      <c r="AL6" s="5">
        <v>-77</v>
      </c>
      <c r="AM6" s="5">
        <v>-77</v>
      </c>
      <c r="AN6" s="5">
        <v>-77</v>
      </c>
      <c r="AO6" s="5">
        <v>-77</v>
      </c>
      <c r="AP6" s="5">
        <v>-77</v>
      </c>
      <c r="AQ6" s="5">
        <v>-77</v>
      </c>
      <c r="AR6" s="5">
        <v>-77</v>
      </c>
      <c r="AS6" s="5">
        <v>-77</v>
      </c>
      <c r="AT6" s="5">
        <v>-77</v>
      </c>
      <c r="AU6" s="5">
        <v>-99</v>
      </c>
      <c r="AV6" s="5">
        <v>-77</v>
      </c>
      <c r="AW6" s="6">
        <v>-99</v>
      </c>
      <c r="AX6" s="6">
        <v>-99</v>
      </c>
      <c r="AY6" s="6">
        <v>1</v>
      </c>
      <c r="AZ6" s="6" t="s">
        <v>160</v>
      </c>
      <c r="BA6" s="7">
        <v>-99</v>
      </c>
    </row>
    <row r="7" spans="1:53" x14ac:dyDescent="0.25">
      <c r="A7" s="14" t="s">
        <v>92</v>
      </c>
      <c r="B7" s="2" t="s">
        <v>93</v>
      </c>
      <c r="C7" s="2" t="s">
        <v>94</v>
      </c>
      <c r="D7" s="2" t="s">
        <v>95</v>
      </c>
      <c r="E7" s="2" t="s">
        <v>96</v>
      </c>
      <c r="F7" s="2" t="s">
        <v>97</v>
      </c>
      <c r="G7" s="2" t="s">
        <v>98</v>
      </c>
      <c r="H7" s="2" t="s">
        <v>99</v>
      </c>
      <c r="I7" s="2" t="s">
        <v>100</v>
      </c>
      <c r="J7" s="3">
        <v>1</v>
      </c>
      <c r="K7" s="3">
        <v>-99</v>
      </c>
      <c r="L7" s="3" t="s">
        <v>969</v>
      </c>
      <c r="M7" s="3">
        <v>18</v>
      </c>
      <c r="N7" s="3">
        <v>0</v>
      </c>
      <c r="O7" s="4" t="s">
        <v>155</v>
      </c>
      <c r="P7" s="4">
        <v>-77</v>
      </c>
      <c r="Q7" s="4">
        <v>-77</v>
      </c>
      <c r="R7" s="4" t="s">
        <v>156</v>
      </c>
      <c r="S7" s="15" t="s">
        <v>593</v>
      </c>
      <c r="T7" s="4" t="s">
        <v>162</v>
      </c>
      <c r="U7" s="4">
        <v>-77</v>
      </c>
      <c r="V7" s="4">
        <v>-77</v>
      </c>
      <c r="W7" s="4">
        <v>-77</v>
      </c>
      <c r="X7" s="4">
        <v>100</v>
      </c>
      <c r="Y7" s="4">
        <v>0</v>
      </c>
      <c r="Z7" s="4">
        <v>-77</v>
      </c>
      <c r="AA7" s="4" t="s">
        <v>1069</v>
      </c>
      <c r="AB7" s="4">
        <v>-77</v>
      </c>
      <c r="AC7" s="5">
        <v>4</v>
      </c>
      <c r="AD7" s="5">
        <v>2</v>
      </c>
      <c r="AE7" s="5">
        <v>2</v>
      </c>
      <c r="AF7" s="5">
        <v>-77</v>
      </c>
      <c r="AG7" s="5">
        <v>-77</v>
      </c>
      <c r="AH7" s="5">
        <v>-77</v>
      </c>
      <c r="AI7" s="5">
        <v>-77</v>
      </c>
      <c r="AJ7" s="5">
        <v>-77</v>
      </c>
      <c r="AK7" s="5">
        <v>-77</v>
      </c>
      <c r="AL7" s="5">
        <v>-77</v>
      </c>
      <c r="AM7" s="5">
        <v>-77</v>
      </c>
      <c r="AN7" s="5">
        <v>-77</v>
      </c>
      <c r="AO7" s="5">
        <v>-77</v>
      </c>
      <c r="AP7" s="5">
        <v>-77</v>
      </c>
      <c r="AQ7" s="5">
        <v>-77</v>
      </c>
      <c r="AR7" s="5">
        <v>-77</v>
      </c>
      <c r="AS7" s="5">
        <v>-77</v>
      </c>
      <c r="AT7" s="5">
        <v>-77</v>
      </c>
      <c r="AU7" s="5" t="s">
        <v>169</v>
      </c>
      <c r="AV7" s="5">
        <v>1</v>
      </c>
      <c r="AW7" s="6">
        <v>-99</v>
      </c>
      <c r="AX7" s="6">
        <v>-99</v>
      </c>
      <c r="AY7" s="6">
        <v>2</v>
      </c>
      <c r="AZ7" s="6" t="s">
        <v>899</v>
      </c>
      <c r="BA7" s="7">
        <v>-99</v>
      </c>
    </row>
    <row r="8" spans="1:53" x14ac:dyDescent="0.25">
      <c r="A8" s="14" t="s">
        <v>101</v>
      </c>
      <c r="B8" s="2" t="s">
        <v>102</v>
      </c>
      <c r="C8" s="2" t="s">
        <v>70</v>
      </c>
      <c r="D8" s="2" t="s">
        <v>103</v>
      </c>
      <c r="E8" s="2" t="s">
        <v>71</v>
      </c>
      <c r="F8" s="2" t="s">
        <v>72</v>
      </c>
      <c r="G8" s="2" t="s">
        <v>83</v>
      </c>
      <c r="H8" s="2" t="s">
        <v>104</v>
      </c>
      <c r="I8" s="2" t="s">
        <v>105</v>
      </c>
      <c r="J8" s="3">
        <v>1</v>
      </c>
      <c r="K8" s="3">
        <v>-99</v>
      </c>
      <c r="L8" s="3" t="s">
        <v>971</v>
      </c>
      <c r="M8" s="3">
        <v>134</v>
      </c>
      <c r="N8" s="3">
        <v>0</v>
      </c>
      <c r="O8" s="4" t="s">
        <v>880</v>
      </c>
      <c r="P8" s="4">
        <v>-77</v>
      </c>
      <c r="Q8" s="4">
        <v>0</v>
      </c>
      <c r="R8" s="4">
        <v>-77</v>
      </c>
      <c r="S8" s="4">
        <v>-77</v>
      </c>
      <c r="T8" s="4">
        <v>-77</v>
      </c>
      <c r="U8" s="4">
        <v>-77</v>
      </c>
      <c r="V8" s="4">
        <v>-77</v>
      </c>
      <c r="W8" s="4">
        <v>-77</v>
      </c>
      <c r="X8" s="4">
        <v>-77</v>
      </c>
      <c r="Y8" s="4">
        <v>-77</v>
      </c>
      <c r="Z8" s="4">
        <v>-77</v>
      </c>
      <c r="AA8" s="4" t="s">
        <v>1070</v>
      </c>
      <c r="AB8" s="4">
        <v>-77</v>
      </c>
      <c r="AC8" s="5">
        <v>4</v>
      </c>
      <c r="AD8" s="5">
        <v>2</v>
      </c>
      <c r="AE8" s="5">
        <v>2</v>
      </c>
      <c r="AF8" s="5">
        <v>-77</v>
      </c>
      <c r="AG8" s="5">
        <v>-77</v>
      </c>
      <c r="AH8" s="5">
        <v>-77</v>
      </c>
      <c r="AI8" s="5">
        <v>-77</v>
      </c>
      <c r="AJ8" s="5">
        <v>-77</v>
      </c>
      <c r="AK8" s="5">
        <v>-77</v>
      </c>
      <c r="AL8" s="5">
        <v>-77</v>
      </c>
      <c r="AM8" s="5">
        <v>-77</v>
      </c>
      <c r="AN8" s="5">
        <v>-77</v>
      </c>
      <c r="AO8" s="5">
        <v>-77</v>
      </c>
      <c r="AP8" s="5">
        <v>-77</v>
      </c>
      <c r="AQ8" s="5">
        <v>-77</v>
      </c>
      <c r="AR8" s="5">
        <v>-77</v>
      </c>
      <c r="AS8" s="5">
        <v>-77</v>
      </c>
      <c r="AT8" s="5">
        <v>-77</v>
      </c>
      <c r="AU8" s="5">
        <v>-99</v>
      </c>
      <c r="AV8" s="5">
        <v>-77</v>
      </c>
      <c r="AW8" s="6">
        <v>-99</v>
      </c>
      <c r="AX8" s="6">
        <v>-99</v>
      </c>
      <c r="AY8" s="6">
        <v>1</v>
      </c>
      <c r="AZ8" s="6" t="s">
        <v>160</v>
      </c>
      <c r="BA8" s="7">
        <v>-99</v>
      </c>
    </row>
    <row r="9" spans="1:53" x14ac:dyDescent="0.25">
      <c r="A9" s="14" t="s">
        <v>106</v>
      </c>
      <c r="B9" s="2" t="s">
        <v>107</v>
      </c>
      <c r="C9" s="2" t="s">
        <v>108</v>
      </c>
      <c r="D9" s="2" t="s">
        <v>109</v>
      </c>
      <c r="E9" s="2" t="s">
        <v>110</v>
      </c>
      <c r="F9" s="2" t="s">
        <v>111</v>
      </c>
      <c r="G9" s="2" t="s">
        <v>73</v>
      </c>
      <c r="H9" s="2" t="s">
        <v>112</v>
      </c>
      <c r="I9" s="2" t="s">
        <v>113</v>
      </c>
      <c r="J9" s="3">
        <v>2</v>
      </c>
      <c r="K9" s="3">
        <v>2</v>
      </c>
      <c r="L9" s="3" t="s">
        <v>1041</v>
      </c>
      <c r="M9" s="3">
        <v>56</v>
      </c>
      <c r="N9" s="3">
        <v>0</v>
      </c>
      <c r="O9" s="4" t="s">
        <v>155</v>
      </c>
      <c r="P9" s="4">
        <v>-77</v>
      </c>
      <c r="Q9" s="4">
        <v>-77</v>
      </c>
      <c r="R9" s="4" t="s">
        <v>156</v>
      </c>
      <c r="S9" s="4" t="s">
        <v>170</v>
      </c>
      <c r="T9" s="4">
        <v>-77</v>
      </c>
      <c r="U9" s="4">
        <v>-77</v>
      </c>
      <c r="V9" s="4">
        <v>-77</v>
      </c>
      <c r="W9" s="4">
        <v>0</v>
      </c>
      <c r="X9" s="4">
        <v>-77</v>
      </c>
      <c r="Y9" s="4">
        <v>0</v>
      </c>
      <c r="Z9" s="4">
        <v>-77</v>
      </c>
      <c r="AA9" s="4" t="s">
        <v>1061</v>
      </c>
      <c r="AB9" s="4">
        <v>1</v>
      </c>
      <c r="AC9" s="5">
        <v>4</v>
      </c>
      <c r="AD9" s="5">
        <v>2</v>
      </c>
      <c r="AE9" s="5">
        <v>2</v>
      </c>
      <c r="AF9" s="5">
        <v>-77</v>
      </c>
      <c r="AG9" s="5" t="s">
        <v>415</v>
      </c>
      <c r="AH9" s="5" t="s">
        <v>416</v>
      </c>
      <c r="AI9" s="5" t="s">
        <v>417</v>
      </c>
      <c r="AJ9" s="5" t="s">
        <v>417</v>
      </c>
      <c r="AK9" s="19" t="s">
        <v>417</v>
      </c>
      <c r="AL9" s="19" t="s">
        <v>417</v>
      </c>
      <c r="AM9" s="5">
        <v>10</v>
      </c>
      <c r="AN9" s="5">
        <v>10</v>
      </c>
      <c r="AO9" s="5">
        <v>10</v>
      </c>
      <c r="AP9" s="5">
        <v>10</v>
      </c>
      <c r="AQ9" s="16">
        <v>0.5</v>
      </c>
      <c r="AR9" s="16">
        <v>0.1</v>
      </c>
      <c r="AS9" s="16">
        <v>0.5</v>
      </c>
      <c r="AT9" s="16">
        <v>0.1</v>
      </c>
      <c r="AU9" s="5" t="s">
        <v>1053</v>
      </c>
      <c r="AV9" s="5">
        <v>0</v>
      </c>
      <c r="AW9" s="6">
        <v>5</v>
      </c>
      <c r="AX9" s="6">
        <v>20</v>
      </c>
      <c r="AY9" s="6">
        <v>3</v>
      </c>
      <c r="AZ9" s="6" t="s">
        <v>900</v>
      </c>
      <c r="BA9" s="7">
        <v>-99</v>
      </c>
    </row>
    <row r="10" spans="1:53" x14ac:dyDescent="0.25">
      <c r="A10" s="14" t="s">
        <v>114</v>
      </c>
      <c r="B10" s="2" t="s">
        <v>115</v>
      </c>
      <c r="C10" s="2" t="s">
        <v>51</v>
      </c>
      <c r="D10" s="2" t="s">
        <v>116</v>
      </c>
      <c r="E10" s="2" t="s">
        <v>117</v>
      </c>
      <c r="F10" s="2" t="s">
        <v>118</v>
      </c>
      <c r="G10" s="2" t="s">
        <v>119</v>
      </c>
      <c r="H10" s="2" t="s">
        <v>120</v>
      </c>
      <c r="I10" s="2" t="s">
        <v>121</v>
      </c>
      <c r="J10" s="3">
        <v>1</v>
      </c>
      <c r="K10" s="3">
        <v>-99</v>
      </c>
      <c r="L10" s="3" t="s">
        <v>970</v>
      </c>
      <c r="M10" s="3">
        <v>5227</v>
      </c>
      <c r="N10" s="3">
        <v>0</v>
      </c>
      <c r="O10" s="4" t="s">
        <v>946</v>
      </c>
      <c r="P10" s="4">
        <v>-77</v>
      </c>
      <c r="Q10" s="4">
        <v>0</v>
      </c>
      <c r="R10" s="4" t="s">
        <v>156</v>
      </c>
      <c r="S10" s="4">
        <v>-77</v>
      </c>
      <c r="T10" s="4">
        <v>-77</v>
      </c>
      <c r="U10" s="4">
        <v>-77</v>
      </c>
      <c r="V10" s="4" t="s">
        <v>172</v>
      </c>
      <c r="W10" s="4">
        <v>0</v>
      </c>
      <c r="X10" s="4">
        <v>120</v>
      </c>
      <c r="Y10" s="4">
        <v>0</v>
      </c>
      <c r="Z10" s="4" t="s">
        <v>171</v>
      </c>
      <c r="AA10" s="4" t="s">
        <v>1062</v>
      </c>
      <c r="AB10" s="4">
        <v>1</v>
      </c>
      <c r="AC10" s="5">
        <v>4</v>
      </c>
      <c r="AD10" s="5">
        <v>2</v>
      </c>
      <c r="AE10" s="5">
        <v>2</v>
      </c>
      <c r="AF10" s="5">
        <v>-77</v>
      </c>
      <c r="AG10" s="5" t="s">
        <v>166</v>
      </c>
      <c r="AH10" s="5" t="s">
        <v>179</v>
      </c>
      <c r="AI10" s="5" t="s">
        <v>178</v>
      </c>
      <c r="AJ10" s="5" t="s">
        <v>178</v>
      </c>
      <c r="AK10" s="19" t="s">
        <v>178</v>
      </c>
      <c r="AL10" s="19" t="s">
        <v>178</v>
      </c>
      <c r="AM10" s="5">
        <v>10</v>
      </c>
      <c r="AN10" s="5">
        <v>10</v>
      </c>
      <c r="AO10" s="5">
        <v>10</v>
      </c>
      <c r="AP10" s="5">
        <v>10</v>
      </c>
      <c r="AQ10" s="16">
        <v>0.5</v>
      </c>
      <c r="AR10" s="16">
        <v>0.1</v>
      </c>
      <c r="AS10" s="16">
        <v>0.5</v>
      </c>
      <c r="AT10" s="16">
        <v>0.1</v>
      </c>
      <c r="AU10" s="5">
        <v>-99</v>
      </c>
      <c r="AV10" s="5">
        <v>0</v>
      </c>
      <c r="AW10" s="6">
        <v>6</v>
      </c>
      <c r="AX10" s="6">
        <v>20</v>
      </c>
      <c r="AY10" s="6">
        <v>1</v>
      </c>
      <c r="AZ10" s="6" t="s">
        <v>165</v>
      </c>
      <c r="BA10" s="7">
        <v>-99</v>
      </c>
    </row>
    <row r="11" spans="1:53" x14ac:dyDescent="0.25">
      <c r="A11" s="14" t="s">
        <v>122</v>
      </c>
      <c r="B11" s="2" t="s">
        <v>123</v>
      </c>
      <c r="C11" s="2" t="s">
        <v>51</v>
      </c>
      <c r="D11" s="2" t="s">
        <v>124</v>
      </c>
      <c r="E11" s="2" t="s">
        <v>71</v>
      </c>
      <c r="F11" s="2" t="s">
        <v>125</v>
      </c>
      <c r="G11" s="2"/>
      <c r="H11" s="2" t="s">
        <v>126</v>
      </c>
      <c r="I11" s="2" t="s">
        <v>127</v>
      </c>
      <c r="J11" s="3">
        <v>1</v>
      </c>
      <c r="K11" s="3">
        <v>-99</v>
      </c>
      <c r="L11" s="3" t="s">
        <v>972</v>
      </c>
      <c r="M11" s="3">
        <v>70</v>
      </c>
      <c r="N11" s="3">
        <v>0</v>
      </c>
      <c r="O11" s="4" t="s">
        <v>741</v>
      </c>
      <c r="P11" s="4" t="s">
        <v>957</v>
      </c>
      <c r="Q11" s="4">
        <v>0</v>
      </c>
      <c r="R11" s="4">
        <v>-77</v>
      </c>
      <c r="S11" s="4">
        <v>-77</v>
      </c>
      <c r="T11" s="4">
        <v>-77</v>
      </c>
      <c r="U11" s="4">
        <v>-77</v>
      </c>
      <c r="V11" s="4">
        <v>-77</v>
      </c>
      <c r="W11" s="4">
        <v>-77</v>
      </c>
      <c r="X11" s="4">
        <v>100</v>
      </c>
      <c r="Y11" s="4">
        <v>0</v>
      </c>
      <c r="Z11" s="4">
        <v>-77</v>
      </c>
      <c r="AA11" s="4" t="s">
        <v>1063</v>
      </c>
      <c r="AB11" s="4">
        <v>1</v>
      </c>
      <c r="AC11" s="5">
        <v>-77</v>
      </c>
      <c r="AD11" s="5">
        <v>-77</v>
      </c>
      <c r="AE11" s="5">
        <v>-77</v>
      </c>
      <c r="AF11" s="5">
        <v>-77</v>
      </c>
      <c r="AG11" s="5">
        <v>-77</v>
      </c>
      <c r="AH11" s="5">
        <v>-77</v>
      </c>
      <c r="AI11" s="5">
        <v>-77</v>
      </c>
      <c r="AJ11" s="5">
        <v>-77</v>
      </c>
      <c r="AK11" s="5">
        <v>-77</v>
      </c>
      <c r="AL11" s="5">
        <v>-77</v>
      </c>
      <c r="AM11" s="5">
        <v>-77</v>
      </c>
      <c r="AN11" s="5">
        <v>-77</v>
      </c>
      <c r="AO11" s="5">
        <v>-77</v>
      </c>
      <c r="AP11" s="5">
        <v>-77</v>
      </c>
      <c r="AQ11" s="5">
        <v>-77</v>
      </c>
      <c r="AR11" s="5">
        <v>-77</v>
      </c>
      <c r="AS11" s="5">
        <v>-77</v>
      </c>
      <c r="AT11" s="5">
        <v>-77</v>
      </c>
      <c r="AU11" s="5">
        <v>-99</v>
      </c>
      <c r="AV11" s="5">
        <v>-77</v>
      </c>
      <c r="AW11" s="6">
        <v>5</v>
      </c>
      <c r="AX11" s="6">
        <v>20</v>
      </c>
      <c r="AY11" s="6">
        <v>2</v>
      </c>
      <c r="AZ11" s="6" t="s">
        <v>896</v>
      </c>
      <c r="BA11" s="7">
        <v>-99</v>
      </c>
    </row>
    <row r="12" spans="1:53" x14ac:dyDescent="0.25">
      <c r="A12" s="14" t="s">
        <v>128</v>
      </c>
      <c r="B12" s="2" t="s">
        <v>129</v>
      </c>
      <c r="C12" s="2" t="s">
        <v>76</v>
      </c>
      <c r="D12" s="2" t="s">
        <v>130</v>
      </c>
      <c r="E12" s="2" t="s">
        <v>131</v>
      </c>
      <c r="F12" s="2" t="s">
        <v>49</v>
      </c>
      <c r="G12" s="2" t="s">
        <v>80</v>
      </c>
      <c r="H12" s="2" t="s">
        <v>132</v>
      </c>
      <c r="I12" s="2" t="s">
        <v>133</v>
      </c>
      <c r="J12" s="3">
        <v>1</v>
      </c>
      <c r="K12" s="3">
        <v>-99</v>
      </c>
      <c r="L12" s="3" t="s">
        <v>973</v>
      </c>
      <c r="M12" s="3">
        <f>58+74</f>
        <v>132</v>
      </c>
      <c r="N12" s="3">
        <v>0</v>
      </c>
      <c r="O12" s="4" t="s">
        <v>880</v>
      </c>
      <c r="P12" s="4">
        <v>-77</v>
      </c>
      <c r="Q12" s="4">
        <v>0</v>
      </c>
      <c r="R12" s="4" t="s">
        <v>156</v>
      </c>
      <c r="S12" s="4">
        <v>-77</v>
      </c>
      <c r="T12" s="4" t="s">
        <v>162</v>
      </c>
      <c r="U12" s="4">
        <v>-77</v>
      </c>
      <c r="V12" s="4">
        <v>-77</v>
      </c>
      <c r="W12" s="4">
        <v>0</v>
      </c>
      <c r="X12" s="4">
        <v>-77</v>
      </c>
      <c r="Y12" s="4">
        <v>0</v>
      </c>
      <c r="Z12" s="4">
        <v>-77</v>
      </c>
      <c r="AA12" s="4" t="s">
        <v>1065</v>
      </c>
      <c r="AB12" s="4">
        <v>-77</v>
      </c>
      <c r="AC12" s="5">
        <v>4</v>
      </c>
      <c r="AD12" s="5">
        <v>2</v>
      </c>
      <c r="AE12" s="5">
        <v>2</v>
      </c>
      <c r="AF12" s="5">
        <v>-77</v>
      </c>
      <c r="AG12" s="5">
        <v>-77</v>
      </c>
      <c r="AH12" s="5">
        <v>-77</v>
      </c>
      <c r="AI12" s="5">
        <v>-77</v>
      </c>
      <c r="AJ12" s="5">
        <v>-77</v>
      </c>
      <c r="AK12" s="5">
        <v>-77</v>
      </c>
      <c r="AL12" s="5">
        <v>-77</v>
      </c>
      <c r="AM12" s="5">
        <v>-77</v>
      </c>
      <c r="AN12" s="5">
        <v>-77</v>
      </c>
      <c r="AO12" s="5">
        <v>-77</v>
      </c>
      <c r="AP12" s="5">
        <v>-77</v>
      </c>
      <c r="AQ12" s="5">
        <v>-77</v>
      </c>
      <c r="AR12" s="5">
        <v>-77</v>
      </c>
      <c r="AS12" s="5">
        <v>-77</v>
      </c>
      <c r="AT12" s="5">
        <v>-77</v>
      </c>
      <c r="AU12" s="5">
        <v>-99</v>
      </c>
      <c r="AV12" s="5">
        <v>-77</v>
      </c>
      <c r="AW12" s="6">
        <v>-99</v>
      </c>
      <c r="AX12" s="6">
        <v>-99</v>
      </c>
      <c r="AY12" s="6">
        <v>1</v>
      </c>
      <c r="AZ12" s="6" t="s">
        <v>160</v>
      </c>
      <c r="BA12" s="7">
        <v>-99</v>
      </c>
    </row>
    <row r="13" spans="1:53" x14ac:dyDescent="0.25">
      <c r="A13" s="14" t="s">
        <v>134</v>
      </c>
      <c r="B13" s="2" t="s">
        <v>135</v>
      </c>
      <c r="C13" s="2" t="s">
        <v>86</v>
      </c>
      <c r="D13" s="2" t="s">
        <v>136</v>
      </c>
      <c r="E13" s="2" t="s">
        <v>137</v>
      </c>
      <c r="F13" s="2" t="s">
        <v>138</v>
      </c>
      <c r="G13" s="2"/>
      <c r="H13" s="2"/>
      <c r="I13" s="2" t="s">
        <v>139</v>
      </c>
      <c r="J13" s="3">
        <v>1</v>
      </c>
      <c r="K13" s="3">
        <v>-99</v>
      </c>
      <c r="L13" s="3" t="s">
        <v>974</v>
      </c>
      <c r="M13" s="3">
        <v>64</v>
      </c>
      <c r="N13" s="3">
        <v>0</v>
      </c>
      <c r="O13" s="4" t="s">
        <v>155</v>
      </c>
      <c r="P13" s="4">
        <v>-77</v>
      </c>
      <c r="Q13" s="4">
        <v>0</v>
      </c>
      <c r="R13" s="4" t="s">
        <v>156</v>
      </c>
      <c r="S13" s="4" t="s">
        <v>157</v>
      </c>
      <c r="T13" s="4">
        <v>-77</v>
      </c>
      <c r="U13" s="4">
        <v>-77</v>
      </c>
      <c r="V13" s="4" t="s">
        <v>174</v>
      </c>
      <c r="W13" s="4">
        <v>0</v>
      </c>
      <c r="X13" s="4">
        <v>100</v>
      </c>
      <c r="Y13" s="4">
        <v>0</v>
      </c>
      <c r="Z13" s="4">
        <v>-77</v>
      </c>
      <c r="AA13" s="4" t="s">
        <v>1066</v>
      </c>
      <c r="AB13" s="4">
        <v>0</v>
      </c>
      <c r="AC13" s="5">
        <v>4</v>
      </c>
      <c r="AD13" s="5">
        <v>2</v>
      </c>
      <c r="AE13" s="5">
        <v>2</v>
      </c>
      <c r="AF13" s="5">
        <v>-77</v>
      </c>
      <c r="AG13" s="5" t="s">
        <v>166</v>
      </c>
      <c r="AH13" s="5" t="s">
        <v>179</v>
      </c>
      <c r="AI13" s="5" t="s">
        <v>178</v>
      </c>
      <c r="AJ13" s="5" t="s">
        <v>178</v>
      </c>
      <c r="AK13" s="19" t="s">
        <v>178</v>
      </c>
      <c r="AL13" s="19" t="s">
        <v>178</v>
      </c>
      <c r="AM13" s="5">
        <v>10</v>
      </c>
      <c r="AN13" s="5">
        <v>10</v>
      </c>
      <c r="AO13" s="5">
        <v>10</v>
      </c>
      <c r="AP13" s="5">
        <v>10</v>
      </c>
      <c r="AQ13" s="16">
        <v>0.5</v>
      </c>
      <c r="AR13" s="16">
        <v>0.1</v>
      </c>
      <c r="AS13" s="16">
        <v>0.5</v>
      </c>
      <c r="AT13" s="16">
        <v>0.1</v>
      </c>
      <c r="AU13" s="5" t="s">
        <v>173</v>
      </c>
      <c r="AV13" s="5">
        <v>0</v>
      </c>
      <c r="AW13" s="6">
        <v>5</v>
      </c>
      <c r="AX13" s="6">
        <v>20</v>
      </c>
      <c r="AY13" s="6">
        <v>2</v>
      </c>
      <c r="AZ13" s="6" t="s">
        <v>901</v>
      </c>
      <c r="BA13" s="7">
        <v>-99</v>
      </c>
    </row>
    <row r="14" spans="1:53" x14ac:dyDescent="0.25">
      <c r="A14" s="14" t="s">
        <v>140</v>
      </c>
      <c r="B14" s="2" t="s">
        <v>141</v>
      </c>
      <c r="C14" s="2" t="s">
        <v>142</v>
      </c>
      <c r="D14" s="2" t="s">
        <v>143</v>
      </c>
      <c r="E14" s="2" t="s">
        <v>144</v>
      </c>
      <c r="F14" s="2" t="s">
        <v>145</v>
      </c>
      <c r="G14" s="2" t="s">
        <v>73</v>
      </c>
      <c r="H14" s="2" t="s">
        <v>146</v>
      </c>
      <c r="I14" s="2" t="s">
        <v>147</v>
      </c>
      <c r="J14" s="3">
        <v>1</v>
      </c>
      <c r="K14" s="3">
        <v>-99</v>
      </c>
      <c r="L14" s="3" t="s">
        <v>975</v>
      </c>
      <c r="M14" s="3">
        <v>88</v>
      </c>
      <c r="N14" s="3">
        <v>0</v>
      </c>
      <c r="O14" s="4" t="s">
        <v>947</v>
      </c>
      <c r="P14" s="4" t="s">
        <v>956</v>
      </c>
      <c r="Q14" s="4">
        <v>0</v>
      </c>
      <c r="R14" s="4" t="s">
        <v>156</v>
      </c>
      <c r="S14" s="4">
        <v>-77</v>
      </c>
      <c r="T14" s="4">
        <v>-77</v>
      </c>
      <c r="U14" s="4">
        <v>-77</v>
      </c>
      <c r="V14" s="4">
        <v>-77</v>
      </c>
      <c r="W14" s="4">
        <v>0</v>
      </c>
      <c r="X14" s="4">
        <v>100</v>
      </c>
      <c r="Y14" s="4">
        <v>0</v>
      </c>
      <c r="Z14" s="4">
        <v>-77</v>
      </c>
      <c r="AA14" s="4" t="s">
        <v>1064</v>
      </c>
      <c r="AB14" s="4">
        <v>0</v>
      </c>
      <c r="AC14" s="5">
        <v>4</v>
      </c>
      <c r="AD14" s="5">
        <v>2</v>
      </c>
      <c r="AE14" s="5">
        <v>2</v>
      </c>
      <c r="AF14" s="5">
        <v>-77</v>
      </c>
      <c r="AG14" s="5" t="s">
        <v>166</v>
      </c>
      <c r="AH14" s="5" t="s">
        <v>179</v>
      </c>
      <c r="AI14" s="5" t="s">
        <v>178</v>
      </c>
      <c r="AJ14" s="5" t="s">
        <v>178</v>
      </c>
      <c r="AK14" s="19" t="s">
        <v>178</v>
      </c>
      <c r="AL14" s="19" t="s">
        <v>178</v>
      </c>
      <c r="AM14" s="5">
        <v>10</v>
      </c>
      <c r="AN14" s="5">
        <v>10</v>
      </c>
      <c r="AO14" s="5">
        <v>10</v>
      </c>
      <c r="AP14" s="5">
        <v>10</v>
      </c>
      <c r="AQ14" s="16">
        <v>0.5</v>
      </c>
      <c r="AR14" s="16">
        <v>0.1</v>
      </c>
      <c r="AS14" s="16">
        <v>0.5</v>
      </c>
      <c r="AT14" s="16">
        <v>0.1</v>
      </c>
      <c r="AU14" s="5" t="s">
        <v>173</v>
      </c>
      <c r="AV14" s="5">
        <v>0</v>
      </c>
      <c r="AW14" s="6">
        <v>2</v>
      </c>
      <c r="AX14" s="17" t="s">
        <v>175</v>
      </c>
      <c r="AY14" s="6">
        <v>1</v>
      </c>
      <c r="AZ14" s="6" t="s">
        <v>902</v>
      </c>
      <c r="BA14" s="7">
        <v>-99</v>
      </c>
    </row>
    <row r="15" spans="1:53" x14ac:dyDescent="0.25">
      <c r="A15" s="14" t="s">
        <v>148</v>
      </c>
      <c r="B15" s="2" t="s">
        <v>149</v>
      </c>
      <c r="C15" s="2" t="s">
        <v>150</v>
      </c>
      <c r="D15" s="2" t="s">
        <v>151</v>
      </c>
      <c r="E15" s="2" t="s">
        <v>152</v>
      </c>
      <c r="F15" s="2" t="s">
        <v>50</v>
      </c>
      <c r="G15" s="2" t="s">
        <v>83</v>
      </c>
      <c r="H15" s="2" t="s">
        <v>153</v>
      </c>
      <c r="I15" s="2" t="s">
        <v>154</v>
      </c>
      <c r="J15" s="3">
        <v>2</v>
      </c>
      <c r="K15" s="3">
        <v>2</v>
      </c>
      <c r="L15" s="3" t="s">
        <v>976</v>
      </c>
      <c r="M15" s="3">
        <v>51</v>
      </c>
      <c r="N15" s="3">
        <v>0</v>
      </c>
      <c r="O15" s="4" t="s">
        <v>948</v>
      </c>
      <c r="P15" s="4">
        <v>-77</v>
      </c>
      <c r="Q15" s="4">
        <v>0</v>
      </c>
      <c r="R15" s="4" t="s">
        <v>156</v>
      </c>
      <c r="S15" s="4" t="s">
        <v>157</v>
      </c>
      <c r="T15" s="4" t="s">
        <v>162</v>
      </c>
      <c r="U15" s="4" t="s">
        <v>176</v>
      </c>
      <c r="V15" s="4" t="s">
        <v>177</v>
      </c>
      <c r="W15" s="4">
        <v>-77</v>
      </c>
      <c r="X15" s="4">
        <v>100</v>
      </c>
      <c r="Y15" s="4">
        <v>0</v>
      </c>
      <c r="Z15" s="4">
        <v>-77</v>
      </c>
      <c r="AA15" s="4" t="s">
        <v>1067</v>
      </c>
      <c r="AB15" s="4">
        <v>0</v>
      </c>
      <c r="AC15" s="5">
        <v>4</v>
      </c>
      <c r="AD15" s="5">
        <v>2</v>
      </c>
      <c r="AE15" s="5">
        <v>2</v>
      </c>
      <c r="AF15" s="5">
        <v>-77</v>
      </c>
      <c r="AG15" s="5" t="s">
        <v>166</v>
      </c>
      <c r="AH15" s="5" t="s">
        <v>179</v>
      </c>
      <c r="AI15" s="5" t="s">
        <v>178</v>
      </c>
      <c r="AJ15" s="5" t="s">
        <v>178</v>
      </c>
      <c r="AK15" s="19" t="s">
        <v>178</v>
      </c>
      <c r="AL15" s="19" t="s">
        <v>178</v>
      </c>
      <c r="AM15" s="5">
        <v>10</v>
      </c>
      <c r="AN15" s="5">
        <v>10</v>
      </c>
      <c r="AO15" s="5">
        <v>10</v>
      </c>
      <c r="AP15" s="5">
        <v>10</v>
      </c>
      <c r="AQ15" s="16">
        <v>0.5</v>
      </c>
      <c r="AR15" s="16">
        <v>0.1</v>
      </c>
      <c r="AS15" s="16">
        <v>0.5</v>
      </c>
      <c r="AT15" s="16">
        <v>0.1</v>
      </c>
      <c r="AU15" s="5">
        <v>-99</v>
      </c>
      <c r="AV15" s="5">
        <v>0</v>
      </c>
      <c r="AW15" s="6">
        <v>4</v>
      </c>
      <c r="AX15" s="6">
        <v>25</v>
      </c>
      <c r="AY15" s="6">
        <v>4</v>
      </c>
      <c r="AZ15" s="6" t="s">
        <v>903</v>
      </c>
      <c r="BA15" s="7">
        <v>-99</v>
      </c>
    </row>
    <row r="16" spans="1:53" x14ac:dyDescent="0.25">
      <c r="A16" s="14" t="s">
        <v>181</v>
      </c>
      <c r="B16" s="2" t="s">
        <v>182</v>
      </c>
      <c r="C16" s="2" t="s">
        <v>183</v>
      </c>
      <c r="D16" s="2" t="s">
        <v>184</v>
      </c>
      <c r="E16" s="2" t="s">
        <v>185</v>
      </c>
      <c r="F16" s="2" t="s">
        <v>186</v>
      </c>
      <c r="G16" s="2" t="s">
        <v>80</v>
      </c>
      <c r="H16" s="2" t="s">
        <v>187</v>
      </c>
      <c r="I16" s="2" t="s">
        <v>188</v>
      </c>
      <c r="J16" s="3">
        <v>1</v>
      </c>
      <c r="K16" s="3">
        <v>-99</v>
      </c>
      <c r="L16" s="3" t="s">
        <v>977</v>
      </c>
      <c r="M16" s="3">
        <v>20</v>
      </c>
      <c r="N16" s="3">
        <v>0</v>
      </c>
      <c r="O16" s="4" t="s">
        <v>155</v>
      </c>
      <c r="P16" s="4">
        <v>-77</v>
      </c>
      <c r="Q16" s="4">
        <v>0</v>
      </c>
      <c r="R16" s="4" t="s">
        <v>156</v>
      </c>
      <c r="S16" s="4">
        <v>-77</v>
      </c>
      <c r="T16" s="4" t="s">
        <v>162</v>
      </c>
      <c r="U16" s="4" t="s">
        <v>286</v>
      </c>
      <c r="V16" s="4">
        <v>-77</v>
      </c>
      <c r="W16" s="4">
        <v>-77</v>
      </c>
      <c r="X16" s="4">
        <v>100</v>
      </c>
      <c r="Y16" s="4">
        <v>0</v>
      </c>
      <c r="Z16" s="4">
        <v>-77</v>
      </c>
      <c r="AA16" s="4" t="s">
        <v>1071</v>
      </c>
      <c r="AB16" s="4">
        <v>-77</v>
      </c>
      <c r="AC16" s="5">
        <v>4</v>
      </c>
      <c r="AD16" s="5">
        <v>2</v>
      </c>
      <c r="AE16" s="5">
        <v>2</v>
      </c>
      <c r="AF16" s="5">
        <v>-77</v>
      </c>
      <c r="AG16" s="5">
        <v>-77</v>
      </c>
      <c r="AH16" s="5">
        <v>-77</v>
      </c>
      <c r="AI16" s="5">
        <v>-77</v>
      </c>
      <c r="AJ16" s="5">
        <v>-77</v>
      </c>
      <c r="AK16" s="5">
        <v>-77</v>
      </c>
      <c r="AL16" s="5">
        <v>-77</v>
      </c>
      <c r="AM16" s="5">
        <v>-77</v>
      </c>
      <c r="AN16" s="5">
        <v>-77</v>
      </c>
      <c r="AO16" s="5">
        <v>-77</v>
      </c>
      <c r="AP16" s="5">
        <v>-77</v>
      </c>
      <c r="AQ16" s="5">
        <v>-77</v>
      </c>
      <c r="AR16" s="5">
        <v>-77</v>
      </c>
      <c r="AS16" s="5">
        <v>-77</v>
      </c>
      <c r="AT16" s="5">
        <v>-77</v>
      </c>
      <c r="AU16" s="5">
        <v>-99</v>
      </c>
      <c r="AV16" s="5">
        <v>-77</v>
      </c>
      <c r="AW16" s="6">
        <v>5</v>
      </c>
      <c r="AX16" s="6">
        <v>20</v>
      </c>
      <c r="AY16" s="6">
        <v>3</v>
      </c>
      <c r="AZ16" s="6" t="s">
        <v>904</v>
      </c>
      <c r="BA16" s="7">
        <v>-99</v>
      </c>
    </row>
    <row r="17" spans="1:53" x14ac:dyDescent="0.25">
      <c r="A17" s="14" t="s">
        <v>190</v>
      </c>
      <c r="B17" s="2" t="s">
        <v>191</v>
      </c>
      <c r="C17" s="2" t="s">
        <v>192</v>
      </c>
      <c r="D17" s="2" t="s">
        <v>193</v>
      </c>
      <c r="E17" s="2" t="s">
        <v>194</v>
      </c>
      <c r="F17" s="2" t="s">
        <v>195</v>
      </c>
      <c r="G17" s="2" t="s">
        <v>80</v>
      </c>
      <c r="H17" s="2" t="s">
        <v>196</v>
      </c>
      <c r="I17" s="2" t="s">
        <v>197</v>
      </c>
      <c r="J17" s="3">
        <v>1</v>
      </c>
      <c r="K17" s="3">
        <v>-99</v>
      </c>
      <c r="L17" s="3" t="s">
        <v>978</v>
      </c>
      <c r="M17" s="3">
        <v>19</v>
      </c>
      <c r="N17" s="3">
        <v>0</v>
      </c>
      <c r="O17" s="4" t="s">
        <v>155</v>
      </c>
      <c r="P17" s="4">
        <v>-77</v>
      </c>
      <c r="Q17" s="4">
        <v>-77</v>
      </c>
      <c r="R17" s="4" t="s">
        <v>156</v>
      </c>
      <c r="S17" s="4">
        <v>-77</v>
      </c>
      <c r="T17" s="4">
        <v>-77</v>
      </c>
      <c r="U17" s="4">
        <v>-77</v>
      </c>
      <c r="V17" s="4">
        <v>-77</v>
      </c>
      <c r="W17" s="4">
        <v>-77</v>
      </c>
      <c r="X17" s="4">
        <v>-77</v>
      </c>
      <c r="Y17" s="4">
        <v>0</v>
      </c>
      <c r="Z17" s="4">
        <v>-77</v>
      </c>
      <c r="AA17" s="4" t="s">
        <v>1075</v>
      </c>
      <c r="AB17" s="4">
        <v>-77</v>
      </c>
      <c r="AC17" s="5">
        <v>4</v>
      </c>
      <c r="AD17" s="5">
        <v>2</v>
      </c>
      <c r="AE17" s="5">
        <v>2</v>
      </c>
      <c r="AF17" s="5">
        <v>-77</v>
      </c>
      <c r="AG17" s="5" t="s">
        <v>166</v>
      </c>
      <c r="AH17" s="5" t="s">
        <v>179</v>
      </c>
      <c r="AI17" s="5">
        <v>-77</v>
      </c>
      <c r="AJ17" s="5">
        <v>-77</v>
      </c>
      <c r="AK17" s="18">
        <v>-77</v>
      </c>
      <c r="AL17" s="19" t="s">
        <v>178</v>
      </c>
      <c r="AM17" s="5">
        <v>-77</v>
      </c>
      <c r="AN17" s="5">
        <v>-77</v>
      </c>
      <c r="AO17" s="5">
        <v>-77</v>
      </c>
      <c r="AP17" s="5">
        <v>-77</v>
      </c>
      <c r="AQ17" s="5">
        <v>-77</v>
      </c>
      <c r="AR17" s="5">
        <v>-77</v>
      </c>
      <c r="AS17" s="5">
        <v>-77</v>
      </c>
      <c r="AT17" s="5">
        <v>-77</v>
      </c>
      <c r="AU17" s="5">
        <v>-99</v>
      </c>
      <c r="AV17" s="5">
        <v>-77</v>
      </c>
      <c r="AW17" s="6">
        <v>-99</v>
      </c>
      <c r="AX17" s="6">
        <v>-99</v>
      </c>
      <c r="AY17" s="6">
        <v>1</v>
      </c>
      <c r="AZ17" s="6" t="s">
        <v>163</v>
      </c>
      <c r="BA17" s="7">
        <v>-99</v>
      </c>
    </row>
    <row r="18" spans="1:53" x14ac:dyDescent="0.25">
      <c r="A18" s="14" t="s">
        <v>198</v>
      </c>
      <c r="B18" s="2" t="s">
        <v>199</v>
      </c>
      <c r="C18" s="2" t="s">
        <v>54</v>
      </c>
      <c r="D18" s="2" t="s">
        <v>200</v>
      </c>
      <c r="E18" s="2" t="s">
        <v>201</v>
      </c>
      <c r="F18" s="2" t="s">
        <v>202</v>
      </c>
      <c r="G18" s="2" t="s">
        <v>80</v>
      </c>
      <c r="H18" s="2" t="s">
        <v>203</v>
      </c>
      <c r="I18" s="2" t="s">
        <v>204</v>
      </c>
      <c r="J18" s="3">
        <v>1</v>
      </c>
      <c r="K18" s="3">
        <v>-99</v>
      </c>
      <c r="L18" s="3" t="s">
        <v>979</v>
      </c>
      <c r="M18" s="3">
        <v>44</v>
      </c>
      <c r="N18" s="3">
        <v>0</v>
      </c>
      <c r="O18" s="4" t="s">
        <v>879</v>
      </c>
      <c r="P18" s="4">
        <v>-77</v>
      </c>
      <c r="Q18" s="4">
        <v>0</v>
      </c>
      <c r="R18" s="4" t="s">
        <v>156</v>
      </c>
      <c r="S18" s="4" t="s">
        <v>157</v>
      </c>
      <c r="T18" s="4">
        <v>-77</v>
      </c>
      <c r="U18" s="4">
        <v>-77</v>
      </c>
      <c r="V18" s="4">
        <v>-77</v>
      </c>
      <c r="W18" s="4">
        <v>-77</v>
      </c>
      <c r="X18" s="4">
        <v>100</v>
      </c>
      <c r="Y18" s="4">
        <v>0</v>
      </c>
      <c r="Z18" s="4" t="s">
        <v>287</v>
      </c>
      <c r="AA18" s="4" t="s">
        <v>891</v>
      </c>
      <c r="AB18" s="4">
        <v>0</v>
      </c>
      <c r="AC18" s="5">
        <v>4</v>
      </c>
      <c r="AD18" s="5">
        <v>2</v>
      </c>
      <c r="AE18" s="5">
        <v>2</v>
      </c>
      <c r="AF18" s="5">
        <v>-77</v>
      </c>
      <c r="AG18" s="5" t="s">
        <v>166</v>
      </c>
      <c r="AH18" s="5" t="s">
        <v>179</v>
      </c>
      <c r="AI18" s="5" t="s">
        <v>178</v>
      </c>
      <c r="AJ18" s="5" t="s">
        <v>178</v>
      </c>
      <c r="AK18" s="19" t="s">
        <v>178</v>
      </c>
      <c r="AL18" s="19" t="s">
        <v>178</v>
      </c>
      <c r="AM18" s="5">
        <v>10</v>
      </c>
      <c r="AN18" s="5">
        <v>10</v>
      </c>
      <c r="AO18" s="5">
        <v>10</v>
      </c>
      <c r="AP18" s="5">
        <v>10</v>
      </c>
      <c r="AQ18" s="16">
        <v>0.5</v>
      </c>
      <c r="AR18" s="16">
        <v>0.1</v>
      </c>
      <c r="AS18" s="16">
        <v>0.5</v>
      </c>
      <c r="AT18" s="16">
        <v>0.1</v>
      </c>
      <c r="AU18" s="5" t="s">
        <v>891</v>
      </c>
      <c r="AV18" s="5">
        <v>0</v>
      </c>
      <c r="AW18" s="6">
        <v>5</v>
      </c>
      <c r="AX18" s="6">
        <v>20</v>
      </c>
      <c r="AY18" s="6">
        <v>2</v>
      </c>
      <c r="AZ18" s="6" t="s">
        <v>896</v>
      </c>
      <c r="BA18" s="7">
        <v>-99</v>
      </c>
    </row>
    <row r="19" spans="1:53" x14ac:dyDescent="0.25">
      <c r="A19" s="14" t="s">
        <v>205</v>
      </c>
      <c r="B19" s="2" t="s">
        <v>206</v>
      </c>
      <c r="C19" s="2" t="s">
        <v>207</v>
      </c>
      <c r="D19" s="2" t="s">
        <v>208</v>
      </c>
      <c r="E19" s="2" t="s">
        <v>209</v>
      </c>
      <c r="F19" s="2" t="s">
        <v>210</v>
      </c>
      <c r="G19" s="2"/>
      <c r="H19" s="2" t="s">
        <v>211</v>
      </c>
      <c r="I19" s="2" t="s">
        <v>212</v>
      </c>
      <c r="J19" s="3">
        <v>1</v>
      </c>
      <c r="K19" s="3">
        <v>-99</v>
      </c>
      <c r="L19" s="3" t="s">
        <v>980</v>
      </c>
      <c r="M19" s="3">
        <v>226</v>
      </c>
      <c r="N19" s="3">
        <v>0</v>
      </c>
      <c r="O19" s="4">
        <v>-77</v>
      </c>
      <c r="P19" s="4">
        <v>-77</v>
      </c>
      <c r="Q19" s="4">
        <v>-77</v>
      </c>
      <c r="R19" s="4">
        <v>-77</v>
      </c>
      <c r="S19" s="4">
        <v>-77</v>
      </c>
      <c r="T19" s="4">
        <v>-77</v>
      </c>
      <c r="U19" s="4">
        <v>-77</v>
      </c>
      <c r="V19" s="4">
        <v>-77</v>
      </c>
      <c r="W19" s="4">
        <v>-77</v>
      </c>
      <c r="X19" s="4">
        <v>100</v>
      </c>
      <c r="Y19" s="4">
        <v>-77</v>
      </c>
      <c r="Z19" s="4">
        <v>-77</v>
      </c>
      <c r="AA19" s="4" t="s">
        <v>1058</v>
      </c>
      <c r="AB19" s="4">
        <v>-77</v>
      </c>
      <c r="AC19" s="5">
        <v>-77</v>
      </c>
      <c r="AD19" s="5">
        <v>-77</v>
      </c>
      <c r="AE19" s="5">
        <v>-77</v>
      </c>
      <c r="AF19" s="5">
        <v>-77</v>
      </c>
      <c r="AG19" s="5">
        <v>-77</v>
      </c>
      <c r="AH19" s="5">
        <v>-77</v>
      </c>
      <c r="AI19" s="5">
        <v>-77</v>
      </c>
      <c r="AJ19" s="5">
        <v>-77</v>
      </c>
      <c r="AK19" s="5">
        <v>-77</v>
      </c>
      <c r="AL19" s="5">
        <v>-77</v>
      </c>
      <c r="AM19" s="5">
        <v>-77</v>
      </c>
      <c r="AN19" s="5">
        <v>-77</v>
      </c>
      <c r="AO19" s="5">
        <v>-77</v>
      </c>
      <c r="AP19" s="5">
        <v>-77</v>
      </c>
      <c r="AQ19" s="5">
        <v>-77</v>
      </c>
      <c r="AR19" s="5">
        <v>-77</v>
      </c>
      <c r="AS19" s="5">
        <v>-77</v>
      </c>
      <c r="AT19" s="5">
        <v>-77</v>
      </c>
      <c r="AU19" s="5">
        <v>-99</v>
      </c>
      <c r="AV19" s="5">
        <v>-77</v>
      </c>
      <c r="AW19" s="6">
        <v>5</v>
      </c>
      <c r="AX19" s="6">
        <v>20</v>
      </c>
      <c r="AY19" s="6">
        <v>2</v>
      </c>
      <c r="AZ19" s="6" t="s">
        <v>896</v>
      </c>
      <c r="BA19" s="7" t="s">
        <v>288</v>
      </c>
    </row>
    <row r="20" spans="1:53" x14ac:dyDescent="0.25">
      <c r="A20" s="14" t="s">
        <v>213</v>
      </c>
      <c r="B20" s="2" t="s">
        <v>214</v>
      </c>
      <c r="C20" s="2" t="s">
        <v>215</v>
      </c>
      <c r="D20" s="2" t="s">
        <v>216</v>
      </c>
      <c r="E20" s="2" t="s">
        <v>96</v>
      </c>
      <c r="F20" s="2" t="s">
        <v>217</v>
      </c>
      <c r="G20" s="2" t="s">
        <v>73</v>
      </c>
      <c r="H20" s="2" t="s">
        <v>218</v>
      </c>
      <c r="I20" s="2" t="s">
        <v>219</v>
      </c>
      <c r="J20" s="3">
        <v>1</v>
      </c>
      <c r="K20" s="3">
        <v>-99</v>
      </c>
      <c r="L20" s="3" t="s">
        <v>965</v>
      </c>
      <c r="M20" s="3">
        <v>58</v>
      </c>
      <c r="N20" s="3">
        <v>0</v>
      </c>
      <c r="O20" s="4" t="s">
        <v>880</v>
      </c>
      <c r="P20" s="4">
        <v>-77</v>
      </c>
      <c r="Q20" s="4">
        <v>0</v>
      </c>
      <c r="R20" s="4" t="s">
        <v>156</v>
      </c>
      <c r="S20" s="4" t="s">
        <v>289</v>
      </c>
      <c r="T20" s="4">
        <v>-77</v>
      </c>
      <c r="U20" s="4">
        <v>-77</v>
      </c>
      <c r="V20" s="4">
        <v>-77</v>
      </c>
      <c r="W20" s="4">
        <v>-77</v>
      </c>
      <c r="X20" s="4">
        <v>100</v>
      </c>
      <c r="Y20" s="4">
        <v>0</v>
      </c>
      <c r="Z20" s="4">
        <v>-77</v>
      </c>
      <c r="AA20" s="4" t="s">
        <v>1072</v>
      </c>
      <c r="AB20" s="4">
        <v>0</v>
      </c>
      <c r="AC20" s="5">
        <v>4</v>
      </c>
      <c r="AD20" s="5">
        <v>2</v>
      </c>
      <c r="AE20" s="5">
        <v>2</v>
      </c>
      <c r="AF20" s="5">
        <v>-77</v>
      </c>
      <c r="AG20" s="5">
        <v>-77</v>
      </c>
      <c r="AH20" s="5">
        <v>-77</v>
      </c>
      <c r="AI20" s="5">
        <v>-77</v>
      </c>
      <c r="AJ20" s="5">
        <v>-77</v>
      </c>
      <c r="AK20" s="5">
        <v>-77</v>
      </c>
      <c r="AL20" s="5">
        <v>-77</v>
      </c>
      <c r="AM20" s="5">
        <v>-77</v>
      </c>
      <c r="AN20" s="5">
        <v>-77</v>
      </c>
      <c r="AO20" s="5">
        <v>-77</v>
      </c>
      <c r="AP20" s="5">
        <v>-77</v>
      </c>
      <c r="AQ20" s="5">
        <v>-77</v>
      </c>
      <c r="AR20" s="5">
        <v>-77</v>
      </c>
      <c r="AS20" s="5">
        <v>-77</v>
      </c>
      <c r="AT20" s="5">
        <v>-77</v>
      </c>
      <c r="AU20" s="5">
        <v>-99</v>
      </c>
      <c r="AV20" s="5">
        <v>-77</v>
      </c>
      <c r="AW20" s="6">
        <v>5</v>
      </c>
      <c r="AX20" s="6">
        <v>20</v>
      </c>
      <c r="AY20" s="6">
        <v>2</v>
      </c>
      <c r="AZ20" s="6" t="s">
        <v>896</v>
      </c>
      <c r="BA20" s="7">
        <v>-99</v>
      </c>
    </row>
    <row r="21" spans="1:53" x14ac:dyDescent="0.25">
      <c r="A21" s="14" t="s">
        <v>220</v>
      </c>
      <c r="B21" s="2" t="s">
        <v>221</v>
      </c>
      <c r="C21" s="2" t="s">
        <v>222</v>
      </c>
      <c r="D21" s="2" t="s">
        <v>223</v>
      </c>
      <c r="E21" s="2" t="s">
        <v>71</v>
      </c>
      <c r="F21" s="2" t="s">
        <v>224</v>
      </c>
      <c r="G21" s="2" t="s">
        <v>67</v>
      </c>
      <c r="H21" s="2" t="s">
        <v>225</v>
      </c>
      <c r="I21" s="2" t="s">
        <v>226</v>
      </c>
      <c r="J21" s="3">
        <v>1</v>
      </c>
      <c r="K21" s="3">
        <v>-99</v>
      </c>
      <c r="L21" s="3" t="s">
        <v>981</v>
      </c>
      <c r="M21" s="3">
        <v>78</v>
      </c>
      <c r="N21" s="3">
        <v>0</v>
      </c>
      <c r="O21" s="4" t="s">
        <v>949</v>
      </c>
      <c r="P21" s="4">
        <v>-77</v>
      </c>
      <c r="Q21" s="4">
        <v>0</v>
      </c>
      <c r="R21" s="4" t="s">
        <v>156</v>
      </c>
      <c r="S21" s="4" t="s">
        <v>157</v>
      </c>
      <c r="T21" s="4">
        <v>-77</v>
      </c>
      <c r="U21" s="4">
        <v>-77</v>
      </c>
      <c r="V21" s="4">
        <v>-77</v>
      </c>
      <c r="W21" s="4">
        <v>0</v>
      </c>
      <c r="X21" s="4">
        <v>100</v>
      </c>
      <c r="Y21" s="4">
        <v>0</v>
      </c>
      <c r="Z21" s="4">
        <v>-77</v>
      </c>
      <c r="AA21" s="4" t="s">
        <v>892</v>
      </c>
      <c r="AB21" s="4">
        <v>0</v>
      </c>
      <c r="AC21" s="5">
        <v>4</v>
      </c>
      <c r="AD21" s="5">
        <v>2</v>
      </c>
      <c r="AE21" s="5">
        <v>2</v>
      </c>
      <c r="AF21" s="5">
        <v>60</v>
      </c>
      <c r="AG21" s="5" t="s">
        <v>166</v>
      </c>
      <c r="AH21" s="5" t="s">
        <v>166</v>
      </c>
      <c r="AI21" s="5" t="s">
        <v>178</v>
      </c>
      <c r="AJ21" s="5">
        <v>-55</v>
      </c>
      <c r="AK21" s="5" t="s">
        <v>178</v>
      </c>
      <c r="AL21" s="5">
        <v>-55</v>
      </c>
      <c r="AM21" s="5">
        <v>10</v>
      </c>
      <c r="AN21" s="5">
        <v>10</v>
      </c>
      <c r="AO21" s="5">
        <v>10</v>
      </c>
      <c r="AP21" s="5">
        <v>10</v>
      </c>
      <c r="AQ21" s="18">
        <v>-55</v>
      </c>
      <c r="AR21" s="16">
        <v>0.1</v>
      </c>
      <c r="AS21" s="18">
        <v>-55</v>
      </c>
      <c r="AT21" s="16">
        <v>0.1</v>
      </c>
      <c r="AU21" s="5" t="s">
        <v>892</v>
      </c>
      <c r="AV21" s="5">
        <v>1</v>
      </c>
      <c r="AW21" s="6">
        <v>5</v>
      </c>
      <c r="AX21" s="6">
        <v>20</v>
      </c>
      <c r="AY21" s="6">
        <v>1</v>
      </c>
      <c r="AZ21" s="6" t="s">
        <v>161</v>
      </c>
      <c r="BA21" s="7">
        <v>-99</v>
      </c>
    </row>
    <row r="22" spans="1:53" x14ac:dyDescent="0.25">
      <c r="A22" s="14" t="s">
        <v>227</v>
      </c>
      <c r="B22" s="2" t="s">
        <v>228</v>
      </c>
      <c r="C22" s="2" t="s">
        <v>142</v>
      </c>
      <c r="D22" s="2" t="s">
        <v>229</v>
      </c>
      <c r="E22" s="2" t="s">
        <v>230</v>
      </c>
      <c r="F22" s="2" t="s">
        <v>231</v>
      </c>
      <c r="G22" s="2" t="s">
        <v>73</v>
      </c>
      <c r="H22" s="2" t="s">
        <v>232</v>
      </c>
      <c r="I22" s="2" t="s">
        <v>233</v>
      </c>
      <c r="J22" s="3">
        <v>1</v>
      </c>
      <c r="K22" s="3">
        <v>-99</v>
      </c>
      <c r="L22" s="3" t="s">
        <v>982</v>
      </c>
      <c r="M22" s="3">
        <v>128</v>
      </c>
      <c r="N22" s="3">
        <v>0</v>
      </c>
      <c r="O22" s="4" t="s">
        <v>882</v>
      </c>
      <c r="P22" s="4">
        <v>-77</v>
      </c>
      <c r="Q22" s="4">
        <v>0</v>
      </c>
      <c r="R22" s="4" t="s">
        <v>156</v>
      </c>
      <c r="S22" s="4">
        <v>-77</v>
      </c>
      <c r="T22" s="4">
        <v>-77</v>
      </c>
      <c r="U22" s="4">
        <v>-77</v>
      </c>
      <c r="V22" s="4">
        <v>-77</v>
      </c>
      <c r="W22" s="4">
        <v>-77</v>
      </c>
      <c r="X22" s="4">
        <v>100</v>
      </c>
      <c r="Y22" s="4">
        <v>0</v>
      </c>
      <c r="Z22" s="4">
        <v>-77</v>
      </c>
      <c r="AA22" s="4" t="s">
        <v>1076</v>
      </c>
      <c r="AB22" s="4">
        <v>0</v>
      </c>
      <c r="AC22" s="5">
        <v>4</v>
      </c>
      <c r="AD22" s="5">
        <v>2</v>
      </c>
      <c r="AE22" s="5">
        <v>2</v>
      </c>
      <c r="AF22" s="5">
        <v>-77</v>
      </c>
      <c r="AG22" s="5" t="s">
        <v>166</v>
      </c>
      <c r="AH22" s="5" t="s">
        <v>179</v>
      </c>
      <c r="AI22" s="5" t="s">
        <v>178</v>
      </c>
      <c r="AJ22" s="5" t="s">
        <v>178</v>
      </c>
      <c r="AK22" s="5" t="s">
        <v>178</v>
      </c>
      <c r="AL22" s="5" t="s">
        <v>178</v>
      </c>
      <c r="AM22" s="5">
        <v>10</v>
      </c>
      <c r="AN22" s="5">
        <v>10</v>
      </c>
      <c r="AO22" s="5">
        <v>10</v>
      </c>
      <c r="AP22" s="5">
        <v>10</v>
      </c>
      <c r="AQ22" s="16">
        <v>0.5</v>
      </c>
      <c r="AR22" s="16">
        <v>0.1</v>
      </c>
      <c r="AS22" s="16">
        <v>0.5</v>
      </c>
      <c r="AT22" s="16">
        <v>0.1</v>
      </c>
      <c r="AU22" s="5" t="s">
        <v>290</v>
      </c>
      <c r="AV22" s="5">
        <v>0</v>
      </c>
      <c r="AW22" s="6">
        <v>5</v>
      </c>
      <c r="AX22" s="6">
        <v>20</v>
      </c>
      <c r="AY22" s="6">
        <v>1</v>
      </c>
      <c r="AZ22" s="6" t="s">
        <v>905</v>
      </c>
      <c r="BA22" s="7">
        <v>-99</v>
      </c>
    </row>
    <row r="23" spans="1:53" x14ac:dyDescent="0.25">
      <c r="A23" s="14" t="s">
        <v>234</v>
      </c>
      <c r="B23" s="2" t="s">
        <v>235</v>
      </c>
      <c r="C23" s="2" t="s">
        <v>108</v>
      </c>
      <c r="D23" s="2" t="s">
        <v>236</v>
      </c>
      <c r="E23" s="2" t="s">
        <v>237</v>
      </c>
      <c r="F23" s="2" t="s">
        <v>57</v>
      </c>
      <c r="G23" s="2" t="s">
        <v>73</v>
      </c>
      <c r="H23" s="2" t="s">
        <v>238</v>
      </c>
      <c r="I23" s="2" t="s">
        <v>239</v>
      </c>
      <c r="J23" s="3">
        <v>1</v>
      </c>
      <c r="K23" s="3">
        <v>-99</v>
      </c>
      <c r="L23" s="3" t="s">
        <v>983</v>
      </c>
      <c r="M23" s="3">
        <v>18</v>
      </c>
      <c r="N23" s="3">
        <v>0</v>
      </c>
      <c r="O23" s="4" t="s">
        <v>881</v>
      </c>
      <c r="P23" s="4">
        <v>-77</v>
      </c>
      <c r="Q23" s="4">
        <v>0</v>
      </c>
      <c r="R23" s="4" t="s">
        <v>293</v>
      </c>
      <c r="S23" s="4">
        <v>-77</v>
      </c>
      <c r="T23" s="4" t="s">
        <v>294</v>
      </c>
      <c r="U23" s="4">
        <v>-77</v>
      </c>
      <c r="V23" s="4" t="s">
        <v>295</v>
      </c>
      <c r="W23" s="4">
        <v>-77</v>
      </c>
      <c r="X23" s="4">
        <v>100</v>
      </c>
      <c r="Y23" s="4">
        <v>0</v>
      </c>
      <c r="Z23" s="4" t="s">
        <v>287</v>
      </c>
      <c r="AA23" s="4" t="s">
        <v>1073</v>
      </c>
      <c r="AB23" s="4">
        <v>1</v>
      </c>
      <c r="AC23" s="5">
        <v>4</v>
      </c>
      <c r="AD23" s="5">
        <v>2</v>
      </c>
      <c r="AE23" s="5">
        <v>2</v>
      </c>
      <c r="AF23" s="5">
        <v>-77</v>
      </c>
      <c r="AG23" s="5" t="s">
        <v>296</v>
      </c>
      <c r="AH23" s="5" t="s">
        <v>297</v>
      </c>
      <c r="AI23" s="5" t="s">
        <v>298</v>
      </c>
      <c r="AJ23" s="5" t="s">
        <v>298</v>
      </c>
      <c r="AK23" s="5" t="s">
        <v>298</v>
      </c>
      <c r="AL23" s="5" t="s">
        <v>298</v>
      </c>
      <c r="AM23" s="5">
        <v>10</v>
      </c>
      <c r="AN23" s="5">
        <v>10</v>
      </c>
      <c r="AO23" s="5">
        <v>10</v>
      </c>
      <c r="AP23" s="5">
        <v>10</v>
      </c>
      <c r="AQ23" s="16">
        <v>0.5</v>
      </c>
      <c r="AR23" s="16">
        <v>0.1</v>
      </c>
      <c r="AS23" s="16">
        <v>0.5</v>
      </c>
      <c r="AT23" s="16">
        <v>0.1</v>
      </c>
      <c r="AU23" s="5" t="s">
        <v>291</v>
      </c>
      <c r="AV23" s="5">
        <v>1</v>
      </c>
      <c r="AW23" s="6">
        <v>5</v>
      </c>
      <c r="AX23" s="6">
        <v>20</v>
      </c>
      <c r="AY23" s="6">
        <v>1</v>
      </c>
      <c r="AZ23" s="6" t="s">
        <v>896</v>
      </c>
      <c r="BA23" s="7">
        <v>-99</v>
      </c>
    </row>
    <row r="24" spans="1:53" x14ac:dyDescent="0.25">
      <c r="A24" s="14" t="s">
        <v>240</v>
      </c>
      <c r="B24" s="2" t="s">
        <v>241</v>
      </c>
      <c r="C24" s="2" t="s">
        <v>183</v>
      </c>
      <c r="D24" s="2" t="s">
        <v>242</v>
      </c>
      <c r="E24" s="2" t="s">
        <v>243</v>
      </c>
      <c r="F24" s="2" t="s">
        <v>244</v>
      </c>
      <c r="G24" s="2" t="s">
        <v>80</v>
      </c>
      <c r="H24" s="2" t="s">
        <v>245</v>
      </c>
      <c r="I24" s="2" t="s">
        <v>246</v>
      </c>
      <c r="J24" s="3">
        <v>1</v>
      </c>
      <c r="K24" s="3">
        <v>-99</v>
      </c>
      <c r="L24" s="3" t="s">
        <v>984</v>
      </c>
      <c r="M24" s="3">
        <v>51</v>
      </c>
      <c r="N24" s="3">
        <v>0</v>
      </c>
      <c r="O24" s="4" t="s">
        <v>155</v>
      </c>
      <c r="P24" s="4">
        <v>-77</v>
      </c>
      <c r="Q24" s="4">
        <v>-77</v>
      </c>
      <c r="R24" s="4">
        <v>-77</v>
      </c>
      <c r="S24" s="4">
        <v>-77</v>
      </c>
      <c r="T24" s="4">
        <v>-77</v>
      </c>
      <c r="U24" s="4">
        <v>-77</v>
      </c>
      <c r="V24" s="4">
        <v>-77</v>
      </c>
      <c r="W24" s="4">
        <v>-77</v>
      </c>
      <c r="X24" s="4">
        <v>100</v>
      </c>
      <c r="Y24" s="4">
        <v>-77</v>
      </c>
      <c r="Z24" s="4">
        <v>-77</v>
      </c>
      <c r="AA24" s="4" t="s">
        <v>1074</v>
      </c>
      <c r="AB24" s="4">
        <v>-77</v>
      </c>
      <c r="AC24" s="5">
        <v>-77</v>
      </c>
      <c r="AD24" s="5">
        <v>-77</v>
      </c>
      <c r="AE24" s="5">
        <v>-77</v>
      </c>
      <c r="AF24" s="5">
        <v>-77</v>
      </c>
      <c r="AG24" s="5">
        <v>-77</v>
      </c>
      <c r="AH24" s="5">
        <v>-77</v>
      </c>
      <c r="AI24" s="5">
        <v>-77</v>
      </c>
      <c r="AJ24" s="5">
        <v>-77</v>
      </c>
      <c r="AK24" s="5">
        <v>-77</v>
      </c>
      <c r="AL24" s="5">
        <v>-77</v>
      </c>
      <c r="AM24" s="5">
        <v>-77</v>
      </c>
      <c r="AN24" s="5">
        <v>-77</v>
      </c>
      <c r="AO24" s="5">
        <v>-77</v>
      </c>
      <c r="AP24" s="5">
        <v>-77</v>
      </c>
      <c r="AQ24" s="5">
        <v>-77</v>
      </c>
      <c r="AR24" s="5">
        <v>-77</v>
      </c>
      <c r="AS24" s="5">
        <v>-77</v>
      </c>
      <c r="AT24" s="5">
        <v>-77</v>
      </c>
      <c r="AU24" s="5">
        <v>-99</v>
      </c>
      <c r="AV24" s="5">
        <v>-77</v>
      </c>
      <c r="AW24" s="6">
        <v>-99</v>
      </c>
      <c r="AX24" s="6">
        <v>-99</v>
      </c>
      <c r="AY24" s="6">
        <v>2</v>
      </c>
      <c r="AZ24" s="6" t="s">
        <v>906</v>
      </c>
      <c r="BA24" s="7" t="s">
        <v>878</v>
      </c>
    </row>
    <row r="25" spans="1:53" x14ac:dyDescent="0.25">
      <c r="A25" s="14" t="s">
        <v>247</v>
      </c>
      <c r="B25" s="2" t="s">
        <v>248</v>
      </c>
      <c r="C25" s="2" t="s">
        <v>108</v>
      </c>
      <c r="D25" s="2" t="s">
        <v>249</v>
      </c>
      <c r="E25" s="2" t="s">
        <v>250</v>
      </c>
      <c r="F25" s="2" t="s">
        <v>244</v>
      </c>
      <c r="G25" s="2" t="s">
        <v>73</v>
      </c>
      <c r="H25" s="2" t="s">
        <v>251</v>
      </c>
      <c r="I25" s="2" t="s">
        <v>252</v>
      </c>
      <c r="J25" s="3">
        <v>1</v>
      </c>
      <c r="K25" s="3">
        <v>-99</v>
      </c>
      <c r="L25" s="3" t="s">
        <v>985</v>
      </c>
      <c r="M25" s="3">
        <f>31+31</f>
        <v>62</v>
      </c>
      <c r="N25" s="3">
        <v>0</v>
      </c>
      <c r="O25" s="4" t="s">
        <v>950</v>
      </c>
      <c r="P25" s="4">
        <v>-77</v>
      </c>
      <c r="Q25" s="4">
        <v>0</v>
      </c>
      <c r="R25" s="4" t="s">
        <v>156</v>
      </c>
      <c r="S25" s="4">
        <v>-77</v>
      </c>
      <c r="T25" s="4" t="s">
        <v>162</v>
      </c>
      <c r="U25" s="4">
        <v>-77</v>
      </c>
      <c r="V25" s="4">
        <v>-77</v>
      </c>
      <c r="W25" s="4">
        <v>1</v>
      </c>
      <c r="X25" s="4">
        <v>100</v>
      </c>
      <c r="Y25" s="4">
        <v>0</v>
      </c>
      <c r="Z25" s="4">
        <v>-77</v>
      </c>
      <c r="AA25" s="4" t="s">
        <v>1077</v>
      </c>
      <c r="AB25" s="4">
        <v>-77</v>
      </c>
      <c r="AC25" s="5">
        <v>4</v>
      </c>
      <c r="AD25" s="5">
        <v>2</v>
      </c>
      <c r="AE25" s="5">
        <v>2</v>
      </c>
      <c r="AF25" s="5">
        <v>-77</v>
      </c>
      <c r="AG25" s="5">
        <v>-77</v>
      </c>
      <c r="AH25" s="5">
        <v>-77</v>
      </c>
      <c r="AI25" s="5">
        <v>-77</v>
      </c>
      <c r="AJ25" s="5">
        <v>-77</v>
      </c>
      <c r="AK25" s="5">
        <v>-77</v>
      </c>
      <c r="AL25" s="5">
        <v>-77</v>
      </c>
      <c r="AM25" s="5">
        <v>-77</v>
      </c>
      <c r="AN25" s="5">
        <v>-77</v>
      </c>
      <c r="AO25" s="5">
        <v>-77</v>
      </c>
      <c r="AP25" s="5">
        <v>-77</v>
      </c>
      <c r="AQ25" s="5">
        <v>-77</v>
      </c>
      <c r="AR25" s="5">
        <v>-77</v>
      </c>
      <c r="AS25" s="5">
        <v>-77</v>
      </c>
      <c r="AT25" s="5">
        <v>-77</v>
      </c>
      <c r="AU25" s="5">
        <v>-99</v>
      </c>
      <c r="AV25" s="5">
        <v>-77</v>
      </c>
      <c r="AW25" s="6">
        <v>5</v>
      </c>
      <c r="AX25" s="6">
        <v>20</v>
      </c>
      <c r="AY25" s="6">
        <v>4</v>
      </c>
      <c r="AZ25" s="6" t="s">
        <v>907</v>
      </c>
      <c r="BA25" s="7">
        <v>-99</v>
      </c>
    </row>
    <row r="26" spans="1:53" x14ac:dyDescent="0.25">
      <c r="A26" s="14" t="s">
        <v>253</v>
      </c>
      <c r="B26" s="2" t="s">
        <v>254</v>
      </c>
      <c r="C26" s="2" t="s">
        <v>255</v>
      </c>
      <c r="D26" s="2" t="s">
        <v>256</v>
      </c>
      <c r="E26" s="2" t="s">
        <v>257</v>
      </c>
      <c r="F26" s="2" t="s">
        <v>258</v>
      </c>
      <c r="G26" s="2" t="s">
        <v>189</v>
      </c>
      <c r="H26" s="2" t="s">
        <v>259</v>
      </c>
      <c r="I26" s="2" t="s">
        <v>260</v>
      </c>
      <c r="J26" s="3">
        <v>1</v>
      </c>
      <c r="K26" s="3">
        <v>-99</v>
      </c>
      <c r="L26" s="3" t="s">
        <v>986</v>
      </c>
      <c r="M26" s="3">
        <v>175</v>
      </c>
      <c r="N26" s="3">
        <v>0</v>
      </c>
      <c r="O26" s="4" t="s">
        <v>951</v>
      </c>
      <c r="P26" s="4">
        <v>-77</v>
      </c>
      <c r="Q26" s="4">
        <v>0</v>
      </c>
      <c r="R26" s="4" t="s">
        <v>156</v>
      </c>
      <c r="S26" s="4">
        <v>-77</v>
      </c>
      <c r="T26" s="4">
        <v>-77</v>
      </c>
      <c r="U26" s="4">
        <v>-77</v>
      </c>
      <c r="V26" s="4">
        <v>-77</v>
      </c>
      <c r="W26" s="4">
        <v>1</v>
      </c>
      <c r="X26" s="4">
        <v>100</v>
      </c>
      <c r="Y26" s="4">
        <v>0</v>
      </c>
      <c r="Z26" s="4">
        <v>-77</v>
      </c>
      <c r="AA26" s="4" t="s">
        <v>1078</v>
      </c>
      <c r="AB26" s="4">
        <v>0</v>
      </c>
      <c r="AC26" s="5">
        <v>4</v>
      </c>
      <c r="AD26" s="5">
        <v>2</v>
      </c>
      <c r="AE26" s="5">
        <v>2</v>
      </c>
      <c r="AF26" s="5">
        <v>-77</v>
      </c>
      <c r="AG26" s="5" t="s">
        <v>166</v>
      </c>
      <c r="AH26" s="5" t="s">
        <v>179</v>
      </c>
      <c r="AI26" s="5">
        <v>-55</v>
      </c>
      <c r="AJ26" s="5">
        <v>-55</v>
      </c>
      <c r="AK26" s="5">
        <v>-55</v>
      </c>
      <c r="AL26" s="5">
        <v>-55</v>
      </c>
      <c r="AM26" s="5">
        <v>-77</v>
      </c>
      <c r="AN26" s="5">
        <v>-77</v>
      </c>
      <c r="AO26" s="5">
        <v>-77</v>
      </c>
      <c r="AP26" s="5">
        <v>-77</v>
      </c>
      <c r="AQ26" s="5">
        <v>-77</v>
      </c>
      <c r="AR26" s="5">
        <v>-77</v>
      </c>
      <c r="AS26" s="5">
        <v>-77</v>
      </c>
      <c r="AT26" s="5">
        <v>-77</v>
      </c>
      <c r="AU26" s="5" t="s">
        <v>299</v>
      </c>
      <c r="AV26" s="5">
        <v>1</v>
      </c>
      <c r="AW26" s="6">
        <v>-99</v>
      </c>
      <c r="AX26" s="6">
        <v>-99</v>
      </c>
      <c r="AY26" s="6">
        <v>2</v>
      </c>
      <c r="AZ26" s="6" t="s">
        <v>908</v>
      </c>
      <c r="BA26" s="7">
        <v>-99</v>
      </c>
    </row>
    <row r="27" spans="1:53" x14ac:dyDescent="0.25">
      <c r="A27" s="14" t="s">
        <v>261</v>
      </c>
      <c r="B27" s="2" t="s">
        <v>262</v>
      </c>
      <c r="C27" s="2" t="s">
        <v>51</v>
      </c>
      <c r="D27" s="2" t="s">
        <v>263</v>
      </c>
      <c r="E27" s="2" t="s">
        <v>264</v>
      </c>
      <c r="F27" s="2" t="s">
        <v>97</v>
      </c>
      <c r="G27" s="2" t="s">
        <v>80</v>
      </c>
      <c r="H27" s="2" t="s">
        <v>265</v>
      </c>
      <c r="I27" s="2" t="s">
        <v>266</v>
      </c>
      <c r="J27" s="3">
        <v>1</v>
      </c>
      <c r="K27" s="3">
        <v>-99</v>
      </c>
      <c r="L27" s="3" t="s">
        <v>974</v>
      </c>
      <c r="M27" s="3">
        <v>60</v>
      </c>
      <c r="N27" s="3">
        <v>0</v>
      </c>
      <c r="O27" s="4" t="s">
        <v>155</v>
      </c>
      <c r="P27" s="4" t="s">
        <v>958</v>
      </c>
      <c r="Q27" s="4">
        <v>0</v>
      </c>
      <c r="R27" s="4" t="s">
        <v>156</v>
      </c>
      <c r="S27" s="4" t="s">
        <v>157</v>
      </c>
      <c r="T27" s="4" t="s">
        <v>162</v>
      </c>
      <c r="U27" s="4" t="s">
        <v>300</v>
      </c>
      <c r="V27" s="4">
        <v>-77</v>
      </c>
      <c r="W27" s="4">
        <v>-77</v>
      </c>
      <c r="X27" s="4">
        <v>100</v>
      </c>
      <c r="Y27" s="4">
        <v>0</v>
      </c>
      <c r="Z27" s="4">
        <v>-77</v>
      </c>
      <c r="AA27" s="4" t="s">
        <v>1079</v>
      </c>
      <c r="AB27" s="4">
        <v>0</v>
      </c>
      <c r="AC27" s="5">
        <v>4</v>
      </c>
      <c r="AD27" s="5">
        <v>2</v>
      </c>
      <c r="AE27" s="5">
        <v>2</v>
      </c>
      <c r="AF27" s="5">
        <v>40</v>
      </c>
      <c r="AG27" s="5" t="s">
        <v>166</v>
      </c>
      <c r="AH27" s="5" t="s">
        <v>179</v>
      </c>
      <c r="AI27" s="5" t="s">
        <v>178</v>
      </c>
      <c r="AJ27" s="5" t="s">
        <v>178</v>
      </c>
      <c r="AK27" s="5" t="s">
        <v>178</v>
      </c>
      <c r="AL27" s="5" t="s">
        <v>178</v>
      </c>
      <c r="AM27" s="5">
        <v>10</v>
      </c>
      <c r="AN27" s="5">
        <v>10</v>
      </c>
      <c r="AO27" s="5">
        <v>10</v>
      </c>
      <c r="AP27" s="5">
        <v>10</v>
      </c>
      <c r="AQ27" s="5">
        <v>-77</v>
      </c>
      <c r="AR27" s="5">
        <v>-77</v>
      </c>
      <c r="AS27" s="5">
        <v>-77</v>
      </c>
      <c r="AT27" s="5">
        <v>-77</v>
      </c>
      <c r="AU27" s="5" t="s">
        <v>893</v>
      </c>
      <c r="AV27" s="5">
        <v>0</v>
      </c>
      <c r="AW27" s="6">
        <v>-99</v>
      </c>
      <c r="AX27" s="6">
        <v>-99</v>
      </c>
      <c r="AY27" s="6">
        <v>1</v>
      </c>
      <c r="AZ27" s="6" t="s">
        <v>180</v>
      </c>
      <c r="BA27" s="7">
        <v>-99</v>
      </c>
    </row>
    <row r="28" spans="1:53" x14ac:dyDescent="0.25">
      <c r="A28" s="14" t="s">
        <v>267</v>
      </c>
      <c r="B28" s="2" t="s">
        <v>268</v>
      </c>
      <c r="C28" s="2" t="s">
        <v>255</v>
      </c>
      <c r="D28" s="2" t="s">
        <v>269</v>
      </c>
      <c r="E28" s="2" t="s">
        <v>230</v>
      </c>
      <c r="F28" s="2" t="s">
        <v>79</v>
      </c>
      <c r="G28" s="2" t="s">
        <v>189</v>
      </c>
      <c r="H28" s="2" t="s">
        <v>270</v>
      </c>
      <c r="I28" s="2" t="s">
        <v>271</v>
      </c>
      <c r="J28" s="3">
        <v>1</v>
      </c>
      <c r="K28" s="3">
        <v>-99</v>
      </c>
      <c r="L28" s="3" t="s">
        <v>987</v>
      </c>
      <c r="M28" s="3">
        <v>40</v>
      </c>
      <c r="N28" s="3">
        <v>0</v>
      </c>
      <c r="O28" s="4" t="s">
        <v>945</v>
      </c>
      <c r="P28" s="4">
        <v>-77</v>
      </c>
      <c r="Q28" s="4">
        <v>-77</v>
      </c>
      <c r="R28" s="4">
        <v>-77</v>
      </c>
      <c r="S28" s="4">
        <v>-77</v>
      </c>
      <c r="T28" s="4">
        <v>-77</v>
      </c>
      <c r="U28" s="4">
        <v>-77</v>
      </c>
      <c r="V28" s="4">
        <v>-77</v>
      </c>
      <c r="W28" s="4">
        <v>-77</v>
      </c>
      <c r="X28" s="4">
        <v>-77</v>
      </c>
      <c r="Y28" s="4">
        <v>-77</v>
      </c>
      <c r="Z28" s="4">
        <v>-77</v>
      </c>
      <c r="AA28" s="4" t="s">
        <v>1080</v>
      </c>
      <c r="AB28" s="4">
        <v>-77</v>
      </c>
      <c r="AC28" s="5">
        <v>4</v>
      </c>
      <c r="AD28" s="5">
        <v>2</v>
      </c>
      <c r="AE28" s="5">
        <v>2</v>
      </c>
      <c r="AF28" s="5">
        <v>-77</v>
      </c>
      <c r="AG28" s="5">
        <v>-77</v>
      </c>
      <c r="AH28" s="5">
        <v>-77</v>
      </c>
      <c r="AI28" s="5">
        <v>-77</v>
      </c>
      <c r="AJ28" s="5">
        <v>-77</v>
      </c>
      <c r="AK28" s="5">
        <v>-77</v>
      </c>
      <c r="AL28" s="5">
        <v>-77</v>
      </c>
      <c r="AM28" s="5">
        <v>-77</v>
      </c>
      <c r="AN28" s="5">
        <v>-77</v>
      </c>
      <c r="AO28" s="5">
        <v>-77</v>
      </c>
      <c r="AP28" s="5">
        <v>-77</v>
      </c>
      <c r="AQ28" s="5">
        <v>-77</v>
      </c>
      <c r="AR28" s="5">
        <v>-77</v>
      </c>
      <c r="AS28" s="5">
        <v>-77</v>
      </c>
      <c r="AT28" s="5">
        <v>-77</v>
      </c>
      <c r="AU28" s="5">
        <v>-99</v>
      </c>
      <c r="AV28" s="5">
        <v>-77</v>
      </c>
      <c r="AW28" s="6">
        <v>-99</v>
      </c>
      <c r="AX28" s="6">
        <v>-99</v>
      </c>
      <c r="AY28" s="6">
        <v>1</v>
      </c>
      <c r="AZ28" s="6" t="s">
        <v>301</v>
      </c>
      <c r="BA28" s="7">
        <v>-99</v>
      </c>
    </row>
    <row r="29" spans="1:53" x14ac:dyDescent="0.25">
      <c r="A29" s="14" t="s">
        <v>272</v>
      </c>
      <c r="B29" s="2" t="s">
        <v>273</v>
      </c>
      <c r="C29" s="2" t="s">
        <v>76</v>
      </c>
      <c r="D29" s="2" t="s">
        <v>274</v>
      </c>
      <c r="E29" s="2" t="s">
        <v>275</v>
      </c>
      <c r="F29" s="2" t="s">
        <v>276</v>
      </c>
      <c r="G29" s="2"/>
      <c r="H29" s="2" t="s">
        <v>277</v>
      </c>
      <c r="I29" s="2" t="s">
        <v>278</v>
      </c>
      <c r="J29" s="3">
        <v>1</v>
      </c>
      <c r="K29" s="3">
        <v>-99</v>
      </c>
      <c r="L29" s="3" t="s">
        <v>969</v>
      </c>
      <c r="M29" s="3">
        <v>65</v>
      </c>
      <c r="N29" s="3">
        <v>0</v>
      </c>
      <c r="O29" s="4" t="s">
        <v>292</v>
      </c>
      <c r="P29" s="4">
        <v>-77</v>
      </c>
      <c r="Q29" s="4">
        <v>-77</v>
      </c>
      <c r="R29" s="4" t="s">
        <v>156</v>
      </c>
      <c r="S29" s="4" t="s">
        <v>157</v>
      </c>
      <c r="T29" s="4" t="s">
        <v>162</v>
      </c>
      <c r="U29" s="4" t="s">
        <v>1060</v>
      </c>
      <c r="V29" s="4">
        <v>-77</v>
      </c>
      <c r="W29" s="4">
        <v>-77</v>
      </c>
      <c r="X29" s="4">
        <v>100</v>
      </c>
      <c r="Y29" s="4">
        <v>-77</v>
      </c>
      <c r="Z29" s="4">
        <v>-77</v>
      </c>
      <c r="AA29" s="4" t="s">
        <v>1081</v>
      </c>
      <c r="AB29" s="4">
        <v>-77</v>
      </c>
      <c r="AC29" s="5">
        <v>4</v>
      </c>
      <c r="AD29" s="5">
        <v>2</v>
      </c>
      <c r="AE29" s="5">
        <v>2</v>
      </c>
      <c r="AF29" s="5">
        <v>-77</v>
      </c>
      <c r="AG29" s="5">
        <v>-77</v>
      </c>
      <c r="AH29" s="5">
        <v>-77</v>
      </c>
      <c r="AI29" s="5">
        <v>-77</v>
      </c>
      <c r="AJ29" s="5">
        <v>-77</v>
      </c>
      <c r="AK29" s="5">
        <v>-77</v>
      </c>
      <c r="AL29" s="5">
        <v>-77</v>
      </c>
      <c r="AM29" s="5">
        <v>-77</v>
      </c>
      <c r="AN29" s="5">
        <v>-77</v>
      </c>
      <c r="AO29" s="5">
        <v>-77</v>
      </c>
      <c r="AP29" s="5">
        <v>-77</v>
      </c>
      <c r="AQ29" s="5">
        <v>-77</v>
      </c>
      <c r="AR29" s="5">
        <v>-77</v>
      </c>
      <c r="AS29" s="5">
        <v>-77</v>
      </c>
      <c r="AT29" s="5">
        <v>-77</v>
      </c>
      <c r="AU29" s="5">
        <v>-99</v>
      </c>
      <c r="AV29" s="5">
        <v>-77</v>
      </c>
      <c r="AW29" s="6">
        <v>5</v>
      </c>
      <c r="AX29" s="6">
        <v>20</v>
      </c>
      <c r="AY29" s="6">
        <v>2</v>
      </c>
      <c r="AZ29" s="6" t="s">
        <v>896</v>
      </c>
      <c r="BA29" s="7">
        <v>-99</v>
      </c>
    </row>
    <row r="30" spans="1:53" x14ac:dyDescent="0.25">
      <c r="A30" s="14" t="s">
        <v>279</v>
      </c>
      <c r="B30" s="2" t="s">
        <v>280</v>
      </c>
      <c r="C30" s="2" t="s">
        <v>150</v>
      </c>
      <c r="D30" s="2" t="s">
        <v>281</v>
      </c>
      <c r="E30" s="2" t="s">
        <v>282</v>
      </c>
      <c r="F30" s="2" t="s">
        <v>283</v>
      </c>
      <c r="G30" s="2"/>
      <c r="H30" s="2" t="s">
        <v>284</v>
      </c>
      <c r="I30" s="2" t="s">
        <v>285</v>
      </c>
      <c r="J30" s="3">
        <v>1</v>
      </c>
      <c r="K30" s="3">
        <v>-99</v>
      </c>
      <c r="L30" s="3" t="s">
        <v>1045</v>
      </c>
      <c r="M30" s="3">
        <v>59</v>
      </c>
      <c r="N30" s="3">
        <v>0</v>
      </c>
      <c r="O30" s="4" t="s">
        <v>155</v>
      </c>
      <c r="P30" s="4">
        <v>-77</v>
      </c>
      <c r="Q30" s="4">
        <v>-77</v>
      </c>
      <c r="R30" s="4" t="s">
        <v>156</v>
      </c>
      <c r="S30" s="4">
        <v>-77</v>
      </c>
      <c r="T30" s="4">
        <v>-77</v>
      </c>
      <c r="U30" s="4" t="s">
        <v>302</v>
      </c>
      <c r="V30" s="4" t="s">
        <v>303</v>
      </c>
      <c r="W30" s="4">
        <v>-77</v>
      </c>
      <c r="X30" s="4">
        <v>100</v>
      </c>
      <c r="Y30" s="4">
        <v>0</v>
      </c>
      <c r="Z30" s="4">
        <v>-77</v>
      </c>
      <c r="AA30" s="4" t="s">
        <v>1082</v>
      </c>
      <c r="AB30" s="4">
        <v>0</v>
      </c>
      <c r="AC30" s="5">
        <v>4</v>
      </c>
      <c r="AD30" s="5">
        <v>2</v>
      </c>
      <c r="AE30" s="5">
        <v>2</v>
      </c>
      <c r="AF30" s="5">
        <v>-77</v>
      </c>
      <c r="AG30" s="5" t="s">
        <v>166</v>
      </c>
      <c r="AH30" s="5" t="s">
        <v>179</v>
      </c>
      <c r="AI30" s="5" t="s">
        <v>178</v>
      </c>
      <c r="AJ30" s="5" t="s">
        <v>178</v>
      </c>
      <c r="AK30" s="5" t="s">
        <v>178</v>
      </c>
      <c r="AL30" s="5" t="s">
        <v>178</v>
      </c>
      <c r="AM30" s="5">
        <v>10</v>
      </c>
      <c r="AN30" s="5">
        <v>10</v>
      </c>
      <c r="AO30" s="5">
        <v>10</v>
      </c>
      <c r="AP30" s="5">
        <v>10</v>
      </c>
      <c r="AQ30" s="16">
        <v>0.5</v>
      </c>
      <c r="AR30" s="16">
        <v>0.1</v>
      </c>
      <c r="AS30" s="16">
        <v>0.5</v>
      </c>
      <c r="AT30" s="16">
        <v>0.1</v>
      </c>
      <c r="AU30" s="5">
        <v>-99</v>
      </c>
      <c r="AV30" s="5">
        <v>0</v>
      </c>
      <c r="AW30" s="6">
        <v>-99</v>
      </c>
      <c r="AX30" s="6">
        <v>-99</v>
      </c>
      <c r="AY30" s="6">
        <v>3</v>
      </c>
      <c r="AZ30" s="6" t="s">
        <v>909</v>
      </c>
      <c r="BA30" s="7">
        <v>-99</v>
      </c>
    </row>
    <row r="31" spans="1:53" x14ac:dyDescent="0.25">
      <c r="A31" s="14" t="s">
        <v>311</v>
      </c>
      <c r="B31" s="2" t="s">
        <v>312</v>
      </c>
      <c r="C31" s="2" t="s">
        <v>51</v>
      </c>
      <c r="D31" s="2" t="s">
        <v>313</v>
      </c>
      <c r="E31" s="2" t="s">
        <v>314</v>
      </c>
      <c r="F31" s="2" t="s">
        <v>315</v>
      </c>
      <c r="G31" s="2" t="s">
        <v>73</v>
      </c>
      <c r="H31" s="2" t="s">
        <v>316</v>
      </c>
      <c r="I31" s="2" t="s">
        <v>317</v>
      </c>
      <c r="J31" s="3">
        <v>1</v>
      </c>
      <c r="K31" s="3">
        <v>-99</v>
      </c>
      <c r="L31" s="3" t="s">
        <v>988</v>
      </c>
      <c r="M31" s="3">
        <v>55</v>
      </c>
      <c r="N31" s="3">
        <v>0</v>
      </c>
      <c r="O31" s="4" t="s">
        <v>400</v>
      </c>
      <c r="P31" s="4" t="s">
        <v>959</v>
      </c>
      <c r="Q31" s="4">
        <v>0</v>
      </c>
      <c r="R31" s="4" t="s">
        <v>156</v>
      </c>
      <c r="S31" s="4">
        <v>-77</v>
      </c>
      <c r="T31" s="4" t="s">
        <v>162</v>
      </c>
      <c r="U31" s="4" t="s">
        <v>401</v>
      </c>
      <c r="V31" s="4">
        <v>-77</v>
      </c>
      <c r="W31" s="4">
        <v>-77</v>
      </c>
      <c r="X31" s="4">
        <v>100</v>
      </c>
      <c r="Y31" s="4">
        <v>0</v>
      </c>
      <c r="Z31" s="4">
        <v>-77</v>
      </c>
      <c r="AA31" s="4" t="s">
        <v>1083</v>
      </c>
      <c r="AB31" s="4">
        <v>0</v>
      </c>
      <c r="AC31" s="5">
        <v>4</v>
      </c>
      <c r="AD31" s="5">
        <v>2</v>
      </c>
      <c r="AE31" s="5">
        <v>2</v>
      </c>
      <c r="AF31" s="5">
        <v>60</v>
      </c>
      <c r="AG31" s="5" t="s">
        <v>166</v>
      </c>
      <c r="AH31" s="5" t="s">
        <v>179</v>
      </c>
      <c r="AI31" s="5" t="s">
        <v>178</v>
      </c>
      <c r="AJ31" s="5" t="s">
        <v>178</v>
      </c>
      <c r="AK31" s="5" t="s">
        <v>178</v>
      </c>
      <c r="AL31" s="5" t="s">
        <v>178</v>
      </c>
      <c r="AM31" s="5">
        <v>10</v>
      </c>
      <c r="AN31" s="5">
        <v>10</v>
      </c>
      <c r="AO31" s="5">
        <v>10</v>
      </c>
      <c r="AP31" s="5">
        <v>10</v>
      </c>
      <c r="AQ31" s="16">
        <v>0.5</v>
      </c>
      <c r="AR31" s="16">
        <v>0.1</v>
      </c>
      <c r="AS31" s="16">
        <v>0.5</v>
      </c>
      <c r="AT31" s="16">
        <v>0.1</v>
      </c>
      <c r="AU31" s="5">
        <v>-99</v>
      </c>
      <c r="AV31" s="5">
        <v>0</v>
      </c>
      <c r="AW31" s="6">
        <v>5</v>
      </c>
      <c r="AX31" s="6">
        <v>20</v>
      </c>
      <c r="AY31" s="6">
        <v>3</v>
      </c>
      <c r="AZ31" s="6" t="s">
        <v>910</v>
      </c>
      <c r="BA31" s="7">
        <v>-99</v>
      </c>
    </row>
    <row r="32" spans="1:53" x14ac:dyDescent="0.25">
      <c r="A32" s="14" t="s">
        <v>318</v>
      </c>
      <c r="B32" s="2" t="s">
        <v>319</v>
      </c>
      <c r="C32" s="2" t="s">
        <v>76</v>
      </c>
      <c r="D32" s="2" t="s">
        <v>320</v>
      </c>
      <c r="E32" s="2" t="s">
        <v>321</v>
      </c>
      <c r="F32" s="2" t="s">
        <v>58</v>
      </c>
      <c r="G32" s="2" t="s">
        <v>80</v>
      </c>
      <c r="H32" s="2" t="s">
        <v>322</v>
      </c>
      <c r="I32" s="2" t="s">
        <v>323</v>
      </c>
      <c r="J32" s="3">
        <v>1</v>
      </c>
      <c r="K32" s="3">
        <v>-99</v>
      </c>
      <c r="L32" s="3" t="s">
        <v>989</v>
      </c>
      <c r="M32" s="3">
        <v>-99</v>
      </c>
      <c r="N32" s="3">
        <v>0</v>
      </c>
      <c r="O32" s="4" t="s">
        <v>952</v>
      </c>
      <c r="P32" s="4" t="s">
        <v>957</v>
      </c>
      <c r="Q32" s="4">
        <v>0</v>
      </c>
      <c r="R32" s="4" t="s">
        <v>156</v>
      </c>
      <c r="S32" s="4">
        <v>-77</v>
      </c>
      <c r="T32" s="4">
        <v>-77</v>
      </c>
      <c r="U32" s="4">
        <v>-77</v>
      </c>
      <c r="V32" s="4" t="s">
        <v>403</v>
      </c>
      <c r="W32" s="4">
        <v>1</v>
      </c>
      <c r="X32" s="4">
        <v>135</v>
      </c>
      <c r="Y32" s="4">
        <v>10</v>
      </c>
      <c r="Z32" s="4" t="s">
        <v>402</v>
      </c>
      <c r="AA32" s="4" t="s">
        <v>1084</v>
      </c>
      <c r="AB32" s="4">
        <v>1</v>
      </c>
      <c r="AC32" s="5">
        <v>4</v>
      </c>
      <c r="AD32" s="5">
        <v>2</v>
      </c>
      <c r="AE32" s="5">
        <v>2</v>
      </c>
      <c r="AF32" s="5">
        <v>-77</v>
      </c>
      <c r="AG32" s="5" t="s">
        <v>166</v>
      </c>
      <c r="AH32" s="5" t="s">
        <v>179</v>
      </c>
      <c r="AI32" s="5" t="s">
        <v>178</v>
      </c>
      <c r="AJ32" s="5" t="s">
        <v>178</v>
      </c>
      <c r="AK32" s="5" t="s">
        <v>178</v>
      </c>
      <c r="AL32" s="5" t="s">
        <v>178</v>
      </c>
      <c r="AM32" s="5">
        <v>10</v>
      </c>
      <c r="AN32" s="5">
        <v>10</v>
      </c>
      <c r="AO32" s="5">
        <v>10</v>
      </c>
      <c r="AP32" s="5">
        <v>10</v>
      </c>
      <c r="AQ32" s="16">
        <v>0.5</v>
      </c>
      <c r="AR32" s="16">
        <v>0.1</v>
      </c>
      <c r="AS32" s="16">
        <v>0.5</v>
      </c>
      <c r="AT32" s="16">
        <v>0.1</v>
      </c>
      <c r="AU32" s="5" t="s">
        <v>404</v>
      </c>
      <c r="AV32" s="5">
        <v>0</v>
      </c>
      <c r="AW32" s="6">
        <v>3</v>
      </c>
      <c r="AX32" s="6">
        <f>45</f>
        <v>45</v>
      </c>
      <c r="AY32" s="6">
        <v>3</v>
      </c>
      <c r="AZ32" s="6" t="s">
        <v>911</v>
      </c>
      <c r="BA32" s="7">
        <v>-99</v>
      </c>
    </row>
    <row r="33" spans="1:53" x14ac:dyDescent="0.25">
      <c r="A33" s="14" t="s">
        <v>324</v>
      </c>
      <c r="B33" s="2" t="s">
        <v>325</v>
      </c>
      <c r="C33" s="2" t="s">
        <v>326</v>
      </c>
      <c r="D33" s="2" t="s">
        <v>327</v>
      </c>
      <c r="E33" s="2" t="s">
        <v>328</v>
      </c>
      <c r="F33" s="2" t="s">
        <v>329</v>
      </c>
      <c r="G33" s="2" t="s">
        <v>50</v>
      </c>
      <c r="H33" s="2" t="s">
        <v>330</v>
      </c>
      <c r="I33" s="2" t="s">
        <v>331</v>
      </c>
      <c r="J33" s="3">
        <v>1</v>
      </c>
      <c r="K33" s="3">
        <v>-99</v>
      </c>
      <c r="L33" s="3" t="s">
        <v>990</v>
      </c>
      <c r="M33" s="3">
        <v>270</v>
      </c>
      <c r="N33" s="3">
        <v>0</v>
      </c>
      <c r="O33" s="4" t="s">
        <v>155</v>
      </c>
      <c r="P33" s="4">
        <v>-77</v>
      </c>
      <c r="Q33" s="4">
        <v>-77</v>
      </c>
      <c r="R33" s="4">
        <v>-77</v>
      </c>
      <c r="S33" s="4">
        <v>-77</v>
      </c>
      <c r="T33" s="4">
        <v>-77</v>
      </c>
      <c r="U33" s="4">
        <v>-77</v>
      </c>
      <c r="V33" s="4">
        <v>-77</v>
      </c>
      <c r="W33" s="4">
        <v>-77</v>
      </c>
      <c r="X33" s="4">
        <v>-77</v>
      </c>
      <c r="Y33" s="4">
        <v>-77</v>
      </c>
      <c r="Z33" s="4">
        <v>-77</v>
      </c>
      <c r="AA33" s="4" t="s">
        <v>1085</v>
      </c>
      <c r="AB33" s="4">
        <v>-77</v>
      </c>
      <c r="AC33" s="5">
        <v>-77</v>
      </c>
      <c r="AD33" s="5">
        <v>-77</v>
      </c>
      <c r="AE33" s="5">
        <v>-77</v>
      </c>
      <c r="AF33" s="5">
        <v>-77</v>
      </c>
      <c r="AG33" s="5">
        <v>-77</v>
      </c>
      <c r="AH33" s="5">
        <v>-77</v>
      </c>
      <c r="AI33" s="5">
        <v>-77</v>
      </c>
      <c r="AJ33" s="5">
        <v>-77</v>
      </c>
      <c r="AK33" s="5">
        <v>-77</v>
      </c>
      <c r="AL33" s="5">
        <v>-77</v>
      </c>
      <c r="AM33" s="5">
        <v>-77</v>
      </c>
      <c r="AN33" s="5">
        <v>-77</v>
      </c>
      <c r="AO33" s="5">
        <v>-77</v>
      </c>
      <c r="AP33" s="5">
        <v>-77</v>
      </c>
      <c r="AQ33" s="5">
        <v>-77</v>
      </c>
      <c r="AR33" s="5">
        <v>-77</v>
      </c>
      <c r="AS33" s="5">
        <v>-77</v>
      </c>
      <c r="AT33" s="5">
        <v>-77</v>
      </c>
      <c r="AU33" s="5">
        <v>-99</v>
      </c>
      <c r="AV33" s="5">
        <v>-77</v>
      </c>
      <c r="AW33" s="6">
        <v>-99</v>
      </c>
      <c r="AX33" s="6">
        <v>-99</v>
      </c>
      <c r="AY33" s="6">
        <v>1</v>
      </c>
      <c r="AZ33" s="6" t="s">
        <v>160</v>
      </c>
      <c r="BA33" s="7">
        <v>-99</v>
      </c>
    </row>
    <row r="34" spans="1:53" x14ac:dyDescent="0.25">
      <c r="A34" s="14" t="s">
        <v>332</v>
      </c>
      <c r="B34" s="2" t="s">
        <v>333</v>
      </c>
      <c r="C34" s="2" t="s">
        <v>334</v>
      </c>
      <c r="D34" s="2" t="s">
        <v>335</v>
      </c>
      <c r="E34" s="2" t="s">
        <v>336</v>
      </c>
      <c r="F34" s="2" t="s">
        <v>337</v>
      </c>
      <c r="G34" s="2" t="s">
        <v>73</v>
      </c>
      <c r="H34" s="2" t="s">
        <v>338</v>
      </c>
      <c r="I34" s="2" t="s">
        <v>339</v>
      </c>
      <c r="J34" s="3">
        <v>1</v>
      </c>
      <c r="K34" s="3">
        <v>-99</v>
      </c>
      <c r="L34" s="3" t="s">
        <v>991</v>
      </c>
      <c r="M34" s="3">
        <v>95</v>
      </c>
      <c r="N34" s="3">
        <v>0</v>
      </c>
      <c r="O34" s="4">
        <v>-77</v>
      </c>
      <c r="P34" s="4">
        <v>-77</v>
      </c>
      <c r="Q34" s="4">
        <v>-77</v>
      </c>
      <c r="R34" s="4" t="s">
        <v>156</v>
      </c>
      <c r="S34" s="4">
        <v>-77</v>
      </c>
      <c r="T34" s="4">
        <v>-77</v>
      </c>
      <c r="U34" s="4" t="s">
        <v>405</v>
      </c>
      <c r="V34" s="4" t="s">
        <v>406</v>
      </c>
      <c r="W34" s="4">
        <v>-77</v>
      </c>
      <c r="X34" s="4">
        <v>100</v>
      </c>
      <c r="Y34" s="4">
        <v>0</v>
      </c>
      <c r="Z34" s="4">
        <v>-77</v>
      </c>
      <c r="AA34" s="4" t="s">
        <v>1086</v>
      </c>
      <c r="AB34" s="4">
        <v>-77</v>
      </c>
      <c r="AC34" s="5">
        <v>4</v>
      </c>
      <c r="AD34" s="5">
        <v>2</v>
      </c>
      <c r="AE34" s="5">
        <v>2</v>
      </c>
      <c r="AF34" s="5">
        <v>-77</v>
      </c>
      <c r="AG34" s="5">
        <v>-77</v>
      </c>
      <c r="AH34" s="5">
        <v>-77</v>
      </c>
      <c r="AI34" s="5">
        <v>-77</v>
      </c>
      <c r="AJ34" s="5">
        <v>-77</v>
      </c>
      <c r="AK34" s="5">
        <v>-77</v>
      </c>
      <c r="AL34" s="5">
        <v>-77</v>
      </c>
      <c r="AM34" s="5">
        <v>-77</v>
      </c>
      <c r="AN34" s="5">
        <v>-77</v>
      </c>
      <c r="AO34" s="5">
        <v>-77</v>
      </c>
      <c r="AP34" s="5">
        <v>-77</v>
      </c>
      <c r="AQ34" s="5">
        <v>-77</v>
      </c>
      <c r="AR34" s="5">
        <v>-77</v>
      </c>
      <c r="AS34" s="5">
        <v>-77</v>
      </c>
      <c r="AT34" s="5">
        <v>-77</v>
      </c>
      <c r="AU34" s="5">
        <v>-99</v>
      </c>
      <c r="AV34" s="5">
        <v>-77</v>
      </c>
      <c r="AW34" s="6">
        <v>5</v>
      </c>
      <c r="AX34" s="6">
        <v>20</v>
      </c>
      <c r="AY34" s="6">
        <v>2</v>
      </c>
      <c r="AZ34" s="6" t="s">
        <v>896</v>
      </c>
      <c r="BA34" s="7">
        <v>-99</v>
      </c>
    </row>
    <row r="35" spans="1:53" x14ac:dyDescent="0.25">
      <c r="A35" s="14" t="s">
        <v>340</v>
      </c>
      <c r="B35" s="2" t="s">
        <v>341</v>
      </c>
      <c r="C35" s="2" t="s">
        <v>215</v>
      </c>
      <c r="D35" s="2" t="s">
        <v>342</v>
      </c>
      <c r="E35" s="2" t="s">
        <v>343</v>
      </c>
      <c r="F35" s="2" t="s">
        <v>344</v>
      </c>
      <c r="G35" s="2" t="s">
        <v>345</v>
      </c>
      <c r="H35" s="2" t="s">
        <v>346</v>
      </c>
      <c r="I35" s="2" t="s">
        <v>347</v>
      </c>
      <c r="J35" s="3">
        <v>1</v>
      </c>
      <c r="K35" s="3">
        <v>-99</v>
      </c>
      <c r="L35" s="3" t="s">
        <v>985</v>
      </c>
      <c r="M35" s="3">
        <f>38+30</f>
        <v>68</v>
      </c>
      <c r="N35" s="3">
        <v>0</v>
      </c>
      <c r="O35" s="4" t="s">
        <v>155</v>
      </c>
      <c r="P35" s="4">
        <v>-77</v>
      </c>
      <c r="Q35" s="4">
        <v>-77</v>
      </c>
      <c r="R35" s="4" t="s">
        <v>156</v>
      </c>
      <c r="S35" s="4">
        <v>-77</v>
      </c>
      <c r="T35" s="4" t="s">
        <v>407</v>
      </c>
      <c r="U35" s="4">
        <v>-77</v>
      </c>
      <c r="V35" s="4" t="s">
        <v>408</v>
      </c>
      <c r="W35" s="4">
        <v>-77</v>
      </c>
      <c r="X35" s="4">
        <v>100</v>
      </c>
      <c r="Y35" s="4">
        <v>0</v>
      </c>
      <c r="Z35" s="4">
        <v>-77</v>
      </c>
      <c r="AA35" s="4" t="s">
        <v>1087</v>
      </c>
      <c r="AB35" s="4">
        <v>-77</v>
      </c>
      <c r="AC35" s="5">
        <v>4</v>
      </c>
      <c r="AD35" s="5">
        <v>2</v>
      </c>
      <c r="AE35" s="5">
        <v>2</v>
      </c>
      <c r="AF35" s="5">
        <v>-77</v>
      </c>
      <c r="AG35" s="5">
        <v>-77</v>
      </c>
      <c r="AH35" s="5">
        <v>-77</v>
      </c>
      <c r="AI35" s="5">
        <v>-77</v>
      </c>
      <c r="AJ35" s="5">
        <v>-77</v>
      </c>
      <c r="AK35" s="5">
        <v>-77</v>
      </c>
      <c r="AL35" s="5">
        <v>-77</v>
      </c>
      <c r="AM35" s="5">
        <v>-77</v>
      </c>
      <c r="AN35" s="5">
        <v>-77</v>
      </c>
      <c r="AO35" s="5">
        <v>-77</v>
      </c>
      <c r="AP35" s="5">
        <v>-77</v>
      </c>
      <c r="AQ35" s="5">
        <v>-77</v>
      </c>
      <c r="AR35" s="5">
        <v>-77</v>
      </c>
      <c r="AS35" s="5">
        <v>-77</v>
      </c>
      <c r="AT35" s="5">
        <v>-77</v>
      </c>
      <c r="AU35" s="5">
        <v>-99</v>
      </c>
      <c r="AV35" s="5">
        <v>-77</v>
      </c>
      <c r="AW35" s="6">
        <v>5</v>
      </c>
      <c r="AX35" s="6">
        <v>20</v>
      </c>
      <c r="AY35" s="6">
        <v>2</v>
      </c>
      <c r="AZ35" s="6" t="s">
        <v>896</v>
      </c>
      <c r="BA35" s="7" t="s">
        <v>409</v>
      </c>
    </row>
    <row r="36" spans="1:53" x14ac:dyDescent="0.25">
      <c r="A36" s="14" t="s">
        <v>348</v>
      </c>
      <c r="B36" s="2" t="s">
        <v>349</v>
      </c>
      <c r="C36" s="2" t="s">
        <v>183</v>
      </c>
      <c r="D36" s="2" t="s">
        <v>350</v>
      </c>
      <c r="E36" s="2" t="s">
        <v>351</v>
      </c>
      <c r="F36" s="2" t="s">
        <v>310</v>
      </c>
      <c r="G36" s="2" t="s">
        <v>80</v>
      </c>
      <c r="H36" s="2" t="s">
        <v>352</v>
      </c>
      <c r="I36" s="2" t="s">
        <v>353</v>
      </c>
      <c r="J36" s="3">
        <v>1</v>
      </c>
      <c r="K36" s="3">
        <v>-99</v>
      </c>
      <c r="L36" s="3" t="s">
        <v>992</v>
      </c>
      <c r="M36" s="3">
        <v>48</v>
      </c>
      <c r="N36" s="3">
        <v>0</v>
      </c>
      <c r="O36" s="4" t="s">
        <v>155</v>
      </c>
      <c r="P36" s="4">
        <v>-77</v>
      </c>
      <c r="Q36" s="4">
        <v>0</v>
      </c>
      <c r="R36" s="4" t="s">
        <v>156</v>
      </c>
      <c r="S36" s="4">
        <v>-77</v>
      </c>
      <c r="T36" s="4" t="s">
        <v>162</v>
      </c>
      <c r="U36" s="4" t="s">
        <v>412</v>
      </c>
      <c r="V36" s="4">
        <v>-77</v>
      </c>
      <c r="W36" s="4">
        <v>-77</v>
      </c>
      <c r="X36" s="4">
        <v>100</v>
      </c>
      <c r="Y36" s="4">
        <v>0</v>
      </c>
      <c r="Z36" s="4">
        <v>-77</v>
      </c>
      <c r="AA36" s="4" t="s">
        <v>1088</v>
      </c>
      <c r="AB36" s="4">
        <v>0</v>
      </c>
      <c r="AC36" s="5">
        <v>4</v>
      </c>
      <c r="AD36" s="5">
        <v>2</v>
      </c>
      <c r="AE36" s="5">
        <v>2</v>
      </c>
      <c r="AF36" s="5">
        <v>-77</v>
      </c>
      <c r="AG36" s="5">
        <v>-77</v>
      </c>
      <c r="AH36" s="5">
        <v>-77</v>
      </c>
      <c r="AI36" s="5">
        <v>-77</v>
      </c>
      <c r="AJ36" s="5">
        <v>-77</v>
      </c>
      <c r="AK36" s="5">
        <v>-77</v>
      </c>
      <c r="AL36" s="5">
        <v>-77</v>
      </c>
      <c r="AM36" s="5">
        <v>-77</v>
      </c>
      <c r="AN36" s="5">
        <v>-77</v>
      </c>
      <c r="AO36" s="5">
        <v>-77</v>
      </c>
      <c r="AP36" s="5">
        <v>-77</v>
      </c>
      <c r="AQ36" s="5">
        <v>-77</v>
      </c>
      <c r="AR36" s="5">
        <v>-77</v>
      </c>
      <c r="AS36" s="5">
        <v>-77</v>
      </c>
      <c r="AT36" s="5">
        <v>-77</v>
      </c>
      <c r="AU36" s="5">
        <v>-99</v>
      </c>
      <c r="AV36" s="5">
        <v>-77</v>
      </c>
      <c r="AW36" s="6">
        <v>5</v>
      </c>
      <c r="AX36" s="6">
        <v>20</v>
      </c>
      <c r="AY36" s="6">
        <v>5</v>
      </c>
      <c r="AZ36" s="6" t="s">
        <v>912</v>
      </c>
      <c r="BA36" s="7">
        <v>-99</v>
      </c>
    </row>
    <row r="37" spans="1:53" x14ac:dyDescent="0.25">
      <c r="A37" s="14" t="s">
        <v>354</v>
      </c>
      <c r="B37" s="2" t="s">
        <v>355</v>
      </c>
      <c r="C37" s="2" t="s">
        <v>70</v>
      </c>
      <c r="D37" s="2" t="s">
        <v>356</v>
      </c>
      <c r="E37" s="2" t="s">
        <v>357</v>
      </c>
      <c r="F37" s="2" t="s">
        <v>73</v>
      </c>
      <c r="G37" s="2" t="s">
        <v>83</v>
      </c>
      <c r="H37" s="2" t="s">
        <v>358</v>
      </c>
      <c r="I37" s="2" t="s">
        <v>359</v>
      </c>
      <c r="J37" s="3">
        <v>1</v>
      </c>
      <c r="K37" s="3">
        <v>-99</v>
      </c>
      <c r="L37" s="3" t="s">
        <v>993</v>
      </c>
      <c r="M37" s="3">
        <f>22+31</f>
        <v>53</v>
      </c>
      <c r="N37" s="3">
        <v>0</v>
      </c>
      <c r="O37" s="4" t="s">
        <v>155</v>
      </c>
      <c r="P37" s="4">
        <v>-77</v>
      </c>
      <c r="Q37" s="4">
        <v>0</v>
      </c>
      <c r="R37" s="4" t="s">
        <v>156</v>
      </c>
      <c r="S37" s="4">
        <v>-77</v>
      </c>
      <c r="T37" s="4" t="s">
        <v>162</v>
      </c>
      <c r="U37" s="4">
        <v>-77</v>
      </c>
      <c r="V37" s="4">
        <v>-77</v>
      </c>
      <c r="W37" s="4">
        <v>-77</v>
      </c>
      <c r="X37" s="4">
        <v>100</v>
      </c>
      <c r="Y37" s="4">
        <v>0</v>
      </c>
      <c r="Z37" s="4">
        <v>-77</v>
      </c>
      <c r="AA37" s="4" t="s">
        <v>1081</v>
      </c>
      <c r="AB37" s="4">
        <v>-77</v>
      </c>
      <c r="AC37" s="5">
        <v>4</v>
      </c>
      <c r="AD37" s="5">
        <v>2</v>
      </c>
      <c r="AE37" s="5">
        <v>2</v>
      </c>
      <c r="AF37" s="5">
        <v>-77</v>
      </c>
      <c r="AG37" s="5">
        <v>-77</v>
      </c>
      <c r="AH37" s="5">
        <v>-77</v>
      </c>
      <c r="AI37" s="5">
        <v>-77</v>
      </c>
      <c r="AJ37" s="5">
        <v>-77</v>
      </c>
      <c r="AK37" s="5">
        <v>-77</v>
      </c>
      <c r="AL37" s="5">
        <v>-77</v>
      </c>
      <c r="AM37" s="5">
        <v>-77</v>
      </c>
      <c r="AN37" s="5">
        <v>-77</v>
      </c>
      <c r="AO37" s="5">
        <v>-77</v>
      </c>
      <c r="AP37" s="5">
        <v>-77</v>
      </c>
      <c r="AQ37" s="5">
        <v>-77</v>
      </c>
      <c r="AR37" s="5">
        <v>-77</v>
      </c>
      <c r="AS37" s="5">
        <v>-77</v>
      </c>
      <c r="AT37" s="5">
        <v>-77</v>
      </c>
      <c r="AU37" s="5">
        <v>-99</v>
      </c>
      <c r="AV37" s="5">
        <v>-77</v>
      </c>
      <c r="AW37" s="6">
        <v>5</v>
      </c>
      <c r="AX37" s="6">
        <v>20</v>
      </c>
      <c r="AY37" s="6">
        <v>2</v>
      </c>
      <c r="AZ37" s="6" t="s">
        <v>896</v>
      </c>
      <c r="BA37" s="7">
        <v>-99</v>
      </c>
    </row>
    <row r="38" spans="1:53" x14ac:dyDescent="0.25">
      <c r="A38" s="14" t="s">
        <v>360</v>
      </c>
      <c r="B38" s="2" t="s">
        <v>361</v>
      </c>
      <c r="C38" s="2" t="s">
        <v>183</v>
      </c>
      <c r="D38" s="2" t="s">
        <v>362</v>
      </c>
      <c r="E38" s="2" t="s">
        <v>363</v>
      </c>
      <c r="F38" s="2" t="s">
        <v>57</v>
      </c>
      <c r="G38" s="2" t="s">
        <v>189</v>
      </c>
      <c r="H38" s="2" t="s">
        <v>364</v>
      </c>
      <c r="I38" s="2" t="s">
        <v>365</v>
      </c>
      <c r="J38" s="3">
        <v>1</v>
      </c>
      <c r="K38" s="3">
        <v>-99</v>
      </c>
      <c r="L38" s="3" t="s">
        <v>994</v>
      </c>
      <c r="M38" s="3">
        <v>15</v>
      </c>
      <c r="N38" s="3">
        <v>0</v>
      </c>
      <c r="O38" s="4" t="s">
        <v>155</v>
      </c>
      <c r="P38" s="4">
        <v>-77</v>
      </c>
      <c r="Q38" s="4">
        <v>0</v>
      </c>
      <c r="R38" s="4" t="s">
        <v>156</v>
      </c>
      <c r="S38" s="4" t="s">
        <v>157</v>
      </c>
      <c r="T38" s="4">
        <v>-77</v>
      </c>
      <c r="U38" s="4">
        <v>-77</v>
      </c>
      <c r="V38" s="4">
        <v>-77</v>
      </c>
      <c r="W38" s="4">
        <v>-77</v>
      </c>
      <c r="X38" s="4">
        <v>100</v>
      </c>
      <c r="Y38" s="4">
        <v>0</v>
      </c>
      <c r="Z38" s="4">
        <v>-77</v>
      </c>
      <c r="AA38" s="4" t="s">
        <v>1089</v>
      </c>
      <c r="AB38" s="4">
        <v>-77</v>
      </c>
      <c r="AC38" s="5">
        <v>4</v>
      </c>
      <c r="AD38" s="5">
        <v>2</v>
      </c>
      <c r="AE38" s="5">
        <v>2</v>
      </c>
      <c r="AF38" s="5">
        <v>-77</v>
      </c>
      <c r="AG38" s="5" t="s">
        <v>166</v>
      </c>
      <c r="AH38" s="5" t="s">
        <v>179</v>
      </c>
      <c r="AI38" s="5">
        <v>-77</v>
      </c>
      <c r="AJ38" s="5">
        <v>-77</v>
      </c>
      <c r="AK38" s="5">
        <v>-77</v>
      </c>
      <c r="AL38" s="5">
        <v>-77</v>
      </c>
      <c r="AM38" s="5">
        <v>-77</v>
      </c>
      <c r="AN38" s="5">
        <v>-77</v>
      </c>
      <c r="AO38" s="5">
        <v>-77</v>
      </c>
      <c r="AP38" s="5">
        <v>-77</v>
      </c>
      <c r="AQ38" s="5">
        <v>-77</v>
      </c>
      <c r="AR38" s="5">
        <v>-77</v>
      </c>
      <c r="AS38" s="5">
        <v>-77</v>
      </c>
      <c r="AT38" s="5">
        <v>-77</v>
      </c>
      <c r="AU38" s="5">
        <v>-99</v>
      </c>
      <c r="AV38" s="5">
        <v>-77</v>
      </c>
      <c r="AW38" s="6">
        <v>5</v>
      </c>
      <c r="AX38" s="6">
        <v>20</v>
      </c>
      <c r="AY38" s="6">
        <v>4</v>
      </c>
      <c r="AZ38" s="6" t="s">
        <v>913</v>
      </c>
      <c r="BA38" s="7">
        <v>-99</v>
      </c>
    </row>
    <row r="39" spans="1:53" x14ac:dyDescent="0.25">
      <c r="A39" s="14" t="s">
        <v>366</v>
      </c>
      <c r="B39" s="2" t="s">
        <v>367</v>
      </c>
      <c r="C39" s="2" t="s">
        <v>150</v>
      </c>
      <c r="D39" s="2" t="s">
        <v>368</v>
      </c>
      <c r="E39" s="2" t="s">
        <v>369</v>
      </c>
      <c r="F39" s="2" t="s">
        <v>370</v>
      </c>
      <c r="G39" s="2" t="s">
        <v>98</v>
      </c>
      <c r="H39" s="2" t="s">
        <v>371</v>
      </c>
      <c r="I39" s="2" t="s">
        <v>372</v>
      </c>
      <c r="J39" s="3">
        <v>1</v>
      </c>
      <c r="K39" s="3">
        <v>-99</v>
      </c>
      <c r="L39" s="3" t="s">
        <v>995</v>
      </c>
      <c r="M39" s="3">
        <f>27+26</f>
        <v>53</v>
      </c>
      <c r="N39" s="3">
        <v>0</v>
      </c>
      <c r="O39" s="4" t="s">
        <v>880</v>
      </c>
      <c r="P39" s="4" t="s">
        <v>944</v>
      </c>
      <c r="Q39" s="4">
        <v>0</v>
      </c>
      <c r="R39" s="4" t="s">
        <v>156</v>
      </c>
      <c r="S39" s="4" t="s">
        <v>157</v>
      </c>
      <c r="T39" s="4" t="s">
        <v>410</v>
      </c>
      <c r="U39" s="4">
        <v>-77</v>
      </c>
      <c r="V39" s="4" t="s">
        <v>411</v>
      </c>
      <c r="W39" s="4">
        <v>-77</v>
      </c>
      <c r="X39" s="4">
        <v>100</v>
      </c>
      <c r="Y39" s="4">
        <v>0</v>
      </c>
      <c r="Z39" s="4">
        <v>-77</v>
      </c>
      <c r="AA39" s="4" t="s">
        <v>1090</v>
      </c>
      <c r="AB39" s="4">
        <v>0</v>
      </c>
      <c r="AC39" s="5">
        <v>4</v>
      </c>
      <c r="AD39" s="5">
        <v>2</v>
      </c>
      <c r="AE39" s="5">
        <v>2</v>
      </c>
      <c r="AF39" s="5">
        <v>-77</v>
      </c>
      <c r="AG39" s="5">
        <v>-77</v>
      </c>
      <c r="AH39" s="5">
        <v>-77</v>
      </c>
      <c r="AI39" s="5">
        <v>-77</v>
      </c>
      <c r="AJ39" s="5">
        <v>-77</v>
      </c>
      <c r="AK39" s="5">
        <v>-77</v>
      </c>
      <c r="AL39" s="5">
        <v>-77</v>
      </c>
      <c r="AM39" s="5">
        <v>-77</v>
      </c>
      <c r="AN39" s="5">
        <v>-77</v>
      </c>
      <c r="AO39" s="5">
        <v>-77</v>
      </c>
      <c r="AP39" s="5">
        <v>-77</v>
      </c>
      <c r="AQ39" s="5">
        <v>-77</v>
      </c>
      <c r="AR39" s="5">
        <v>-77</v>
      </c>
      <c r="AS39" s="5">
        <v>-77</v>
      </c>
      <c r="AT39" s="5">
        <v>-77</v>
      </c>
      <c r="AU39" s="5">
        <v>-99</v>
      </c>
      <c r="AV39" s="5">
        <v>-77</v>
      </c>
      <c r="AW39" s="6">
        <v>5</v>
      </c>
      <c r="AX39" s="6">
        <v>20</v>
      </c>
      <c r="AY39" s="6">
        <v>1</v>
      </c>
      <c r="AZ39" s="6" t="s">
        <v>161</v>
      </c>
      <c r="BA39" s="7">
        <v>-99</v>
      </c>
    </row>
    <row r="40" spans="1:53" x14ac:dyDescent="0.25">
      <c r="A40" s="14" t="s">
        <v>373</v>
      </c>
      <c r="B40" s="2" t="s">
        <v>374</v>
      </c>
      <c r="C40" s="2" t="s">
        <v>76</v>
      </c>
      <c r="D40" s="2" t="s">
        <v>375</v>
      </c>
      <c r="E40" s="2" t="s">
        <v>376</v>
      </c>
      <c r="F40" s="2" t="s">
        <v>377</v>
      </c>
      <c r="G40" s="2" t="s">
        <v>80</v>
      </c>
      <c r="H40" s="2" t="s">
        <v>378</v>
      </c>
      <c r="I40" s="2" t="s">
        <v>379</v>
      </c>
      <c r="J40" s="3">
        <v>1</v>
      </c>
      <c r="K40" s="3">
        <v>-99</v>
      </c>
      <c r="L40" s="3" t="s">
        <v>996</v>
      </c>
      <c r="M40" s="3">
        <v>82</v>
      </c>
      <c r="N40" s="3">
        <v>0</v>
      </c>
      <c r="O40" s="4" t="s">
        <v>945</v>
      </c>
      <c r="P40" s="4">
        <v>-77</v>
      </c>
      <c r="Q40" s="4">
        <v>0</v>
      </c>
      <c r="R40" s="4" t="s">
        <v>156</v>
      </c>
      <c r="S40" s="15" t="s">
        <v>593</v>
      </c>
      <c r="T40" s="4">
        <v>-77</v>
      </c>
      <c r="U40" s="4" t="s">
        <v>412</v>
      </c>
      <c r="V40" s="4" t="s">
        <v>413</v>
      </c>
      <c r="W40" s="4">
        <v>0</v>
      </c>
      <c r="X40" s="4">
        <v>100</v>
      </c>
      <c r="Y40" s="4">
        <v>0</v>
      </c>
      <c r="Z40" s="4">
        <v>-77</v>
      </c>
      <c r="AA40" s="4" t="s">
        <v>414</v>
      </c>
      <c r="AB40" s="4">
        <v>1</v>
      </c>
      <c r="AC40" s="5">
        <v>4</v>
      </c>
      <c r="AD40" s="5">
        <v>2</v>
      </c>
      <c r="AE40" s="5">
        <v>2</v>
      </c>
      <c r="AF40" s="5">
        <v>-77</v>
      </c>
      <c r="AG40" s="5">
        <v>-77</v>
      </c>
      <c r="AH40" s="5">
        <v>-77</v>
      </c>
      <c r="AI40" s="5">
        <v>-77</v>
      </c>
      <c r="AJ40" s="5">
        <v>-77</v>
      </c>
      <c r="AK40" s="5">
        <v>-77</v>
      </c>
      <c r="AL40" s="5">
        <v>-77</v>
      </c>
      <c r="AM40" s="5">
        <v>-77</v>
      </c>
      <c r="AN40" s="5">
        <v>-77</v>
      </c>
      <c r="AO40" s="5">
        <v>-77</v>
      </c>
      <c r="AP40" s="5">
        <v>-77</v>
      </c>
      <c r="AQ40" s="5">
        <v>-77</v>
      </c>
      <c r="AR40" s="5">
        <v>-77</v>
      </c>
      <c r="AS40" s="5">
        <v>-77</v>
      </c>
      <c r="AT40" s="5">
        <v>-77</v>
      </c>
      <c r="AU40" s="5">
        <v>-99</v>
      </c>
      <c r="AV40" s="5">
        <v>0</v>
      </c>
      <c r="AW40" s="6">
        <v>5</v>
      </c>
      <c r="AX40" s="6">
        <v>20</v>
      </c>
      <c r="AY40" s="6">
        <v>3</v>
      </c>
      <c r="AZ40" s="6" t="s">
        <v>914</v>
      </c>
      <c r="BA40" s="7">
        <v>-99</v>
      </c>
    </row>
    <row r="41" spans="1:53" x14ac:dyDescent="0.25">
      <c r="A41" s="14" t="s">
        <v>380</v>
      </c>
      <c r="B41" s="2" t="s">
        <v>381</v>
      </c>
      <c r="C41" s="2" t="s">
        <v>334</v>
      </c>
      <c r="D41" s="2" t="s">
        <v>382</v>
      </c>
      <c r="E41" s="2" t="s">
        <v>383</v>
      </c>
      <c r="F41" s="2" t="s">
        <v>344</v>
      </c>
      <c r="G41" s="2" t="s">
        <v>189</v>
      </c>
      <c r="H41" s="2" t="s">
        <v>384</v>
      </c>
      <c r="I41" s="2" t="s">
        <v>385</v>
      </c>
      <c r="J41" s="3">
        <v>2</v>
      </c>
      <c r="K41" s="3" t="s">
        <v>418</v>
      </c>
      <c r="L41" s="3" t="s">
        <v>974</v>
      </c>
      <c r="M41" s="3">
        <v>158</v>
      </c>
      <c r="N41" s="3">
        <v>0</v>
      </c>
      <c r="O41" s="4" t="s">
        <v>889</v>
      </c>
      <c r="P41" s="4">
        <v>-77</v>
      </c>
      <c r="Q41" s="4">
        <v>0</v>
      </c>
      <c r="R41" s="4" t="s">
        <v>156</v>
      </c>
      <c r="S41" s="4" t="s">
        <v>170</v>
      </c>
      <c r="T41" s="4" t="s">
        <v>162</v>
      </c>
      <c r="U41" s="4">
        <v>-77</v>
      </c>
      <c r="V41" s="4" t="s">
        <v>420</v>
      </c>
      <c r="W41" s="4">
        <v>-77</v>
      </c>
      <c r="X41" s="4">
        <v>100</v>
      </c>
      <c r="Y41" s="4">
        <v>0</v>
      </c>
      <c r="Z41" s="4" t="s">
        <v>287</v>
      </c>
      <c r="AA41" s="4" t="s">
        <v>419</v>
      </c>
      <c r="AB41" s="4">
        <v>1</v>
      </c>
      <c r="AC41" s="5">
        <v>4</v>
      </c>
      <c r="AD41" s="5">
        <v>2</v>
      </c>
      <c r="AE41" s="5">
        <v>2</v>
      </c>
      <c r="AF41" s="5">
        <v>-77</v>
      </c>
      <c r="AG41" s="5" t="s">
        <v>415</v>
      </c>
      <c r="AH41" s="5" t="s">
        <v>416</v>
      </c>
      <c r="AI41" s="5" t="s">
        <v>417</v>
      </c>
      <c r="AJ41" s="5" t="s">
        <v>417</v>
      </c>
      <c r="AK41" s="5" t="s">
        <v>417</v>
      </c>
      <c r="AL41" s="5" t="s">
        <v>417</v>
      </c>
      <c r="AM41" s="5">
        <v>10</v>
      </c>
      <c r="AN41" s="5">
        <v>10</v>
      </c>
      <c r="AO41" s="5">
        <v>10</v>
      </c>
      <c r="AP41" s="5">
        <v>10</v>
      </c>
      <c r="AQ41" s="16">
        <v>0.5</v>
      </c>
      <c r="AR41" s="16">
        <v>0.1</v>
      </c>
      <c r="AS41" s="16">
        <v>0.5</v>
      </c>
      <c r="AT41" s="16">
        <v>0.1</v>
      </c>
      <c r="AU41" s="5">
        <v>-99</v>
      </c>
      <c r="AV41" s="5">
        <v>0</v>
      </c>
      <c r="AW41" s="6">
        <v>5</v>
      </c>
      <c r="AX41" s="6">
        <v>20</v>
      </c>
      <c r="AY41" s="6">
        <v>2</v>
      </c>
      <c r="AZ41" s="6" t="s">
        <v>915</v>
      </c>
      <c r="BA41" s="7">
        <v>-99</v>
      </c>
    </row>
    <row r="42" spans="1:53" x14ac:dyDescent="0.25">
      <c r="A42" s="14" t="s">
        <v>388</v>
      </c>
      <c r="B42" s="2" t="s">
        <v>389</v>
      </c>
      <c r="C42" s="2" t="s">
        <v>150</v>
      </c>
      <c r="D42" s="2" t="s">
        <v>390</v>
      </c>
      <c r="E42" s="2" t="s">
        <v>309</v>
      </c>
      <c r="F42" s="2" t="s">
        <v>258</v>
      </c>
      <c r="G42" s="2" t="s">
        <v>80</v>
      </c>
      <c r="H42" s="2" t="s">
        <v>391</v>
      </c>
      <c r="I42" s="2" t="s">
        <v>392</v>
      </c>
      <c r="J42" s="3">
        <v>1</v>
      </c>
      <c r="K42" s="3">
        <v>-99</v>
      </c>
      <c r="L42" s="3" t="s">
        <v>997</v>
      </c>
      <c r="M42" s="3">
        <v>130</v>
      </c>
      <c r="N42" s="3">
        <v>0</v>
      </c>
      <c r="O42" s="4" t="s">
        <v>155</v>
      </c>
      <c r="P42" s="4">
        <v>-77</v>
      </c>
      <c r="Q42" s="4">
        <v>-77</v>
      </c>
      <c r="R42" s="4" t="s">
        <v>156</v>
      </c>
      <c r="S42" s="4" t="s">
        <v>157</v>
      </c>
      <c r="T42" s="4">
        <v>-77</v>
      </c>
      <c r="U42" s="4" t="s">
        <v>421</v>
      </c>
      <c r="V42" s="4" t="s">
        <v>413</v>
      </c>
      <c r="W42" s="4">
        <v>-77</v>
      </c>
      <c r="X42" s="4">
        <v>100</v>
      </c>
      <c r="Y42" s="4">
        <v>0</v>
      </c>
      <c r="Z42" s="4">
        <v>-77</v>
      </c>
      <c r="AA42" s="4" t="s">
        <v>1091</v>
      </c>
      <c r="AB42" s="4">
        <v>0</v>
      </c>
      <c r="AC42" s="5">
        <v>4</v>
      </c>
      <c r="AD42" s="5">
        <v>2</v>
      </c>
      <c r="AE42" s="5">
        <v>2</v>
      </c>
      <c r="AF42" s="5">
        <v>-77</v>
      </c>
      <c r="AG42" s="5" t="s">
        <v>166</v>
      </c>
      <c r="AH42" s="5" t="s">
        <v>179</v>
      </c>
      <c r="AI42" s="5" t="s">
        <v>178</v>
      </c>
      <c r="AJ42" s="5" t="s">
        <v>178</v>
      </c>
      <c r="AK42" s="5" t="s">
        <v>178</v>
      </c>
      <c r="AL42" s="5" t="s">
        <v>178</v>
      </c>
      <c r="AM42" s="5">
        <v>10</v>
      </c>
      <c r="AN42" s="5">
        <v>10</v>
      </c>
      <c r="AO42" s="5">
        <v>10</v>
      </c>
      <c r="AP42" s="5">
        <v>10</v>
      </c>
      <c r="AQ42" s="16">
        <v>0.5</v>
      </c>
      <c r="AR42" s="16">
        <v>0.1</v>
      </c>
      <c r="AS42" s="16">
        <v>0.5</v>
      </c>
      <c r="AT42" s="16">
        <v>0.1</v>
      </c>
      <c r="AU42" s="5">
        <v>-99</v>
      </c>
      <c r="AV42" s="5">
        <v>0</v>
      </c>
      <c r="AW42" s="6">
        <v>-99</v>
      </c>
      <c r="AX42" s="6">
        <v>-99</v>
      </c>
      <c r="AY42" s="6">
        <v>2</v>
      </c>
      <c r="AZ42" s="6" t="s">
        <v>916</v>
      </c>
      <c r="BA42" s="7">
        <v>-99</v>
      </c>
    </row>
    <row r="43" spans="1:53" x14ac:dyDescent="0.25">
      <c r="A43" s="14" t="s">
        <v>393</v>
      </c>
      <c r="B43" s="2" t="s">
        <v>394</v>
      </c>
      <c r="C43" s="2" t="s">
        <v>70</v>
      </c>
      <c r="D43" s="2" t="s">
        <v>395</v>
      </c>
      <c r="E43" s="2" t="s">
        <v>396</v>
      </c>
      <c r="F43" s="2" t="s">
        <v>397</v>
      </c>
      <c r="G43" s="2" t="s">
        <v>189</v>
      </c>
      <c r="H43" s="2" t="s">
        <v>398</v>
      </c>
      <c r="I43" s="2" t="s">
        <v>399</v>
      </c>
      <c r="J43" s="3">
        <v>2</v>
      </c>
      <c r="K43" s="3">
        <v>2</v>
      </c>
      <c r="L43" s="3" t="s">
        <v>979</v>
      </c>
      <c r="M43" s="3">
        <v>218</v>
      </c>
      <c r="N43" s="3">
        <v>0</v>
      </c>
      <c r="O43" s="4" t="s">
        <v>155</v>
      </c>
      <c r="P43" s="4">
        <v>-77</v>
      </c>
      <c r="Q43" s="4">
        <v>0</v>
      </c>
      <c r="R43" s="4" t="s">
        <v>156</v>
      </c>
      <c r="S43" s="4">
        <v>-77</v>
      </c>
      <c r="T43" s="4">
        <v>-77</v>
      </c>
      <c r="U43" s="4">
        <v>-77</v>
      </c>
      <c r="V43" s="4">
        <v>-77</v>
      </c>
      <c r="W43" s="4">
        <v>-77</v>
      </c>
      <c r="X43" s="4">
        <v>50</v>
      </c>
      <c r="Y43" s="4">
        <v>0</v>
      </c>
      <c r="Z43" s="4">
        <v>-77</v>
      </c>
      <c r="AA43" s="4" t="s">
        <v>1092</v>
      </c>
      <c r="AB43" s="4">
        <v>1</v>
      </c>
      <c r="AC43" s="5">
        <v>4</v>
      </c>
      <c r="AD43" s="5">
        <v>2</v>
      </c>
      <c r="AE43" s="5">
        <v>2</v>
      </c>
      <c r="AF43" s="5">
        <v>-77</v>
      </c>
      <c r="AG43" s="5">
        <v>-77</v>
      </c>
      <c r="AH43" s="5">
        <v>-77</v>
      </c>
      <c r="AI43" s="5">
        <v>-77</v>
      </c>
      <c r="AJ43" s="5">
        <v>-77</v>
      </c>
      <c r="AK43" s="5">
        <v>-77</v>
      </c>
      <c r="AL43" s="5">
        <v>-77</v>
      </c>
      <c r="AM43" s="5">
        <v>-77</v>
      </c>
      <c r="AN43" s="5">
        <v>-77</v>
      </c>
      <c r="AO43" s="5">
        <v>-77</v>
      </c>
      <c r="AP43" s="5">
        <v>-77</v>
      </c>
      <c r="AQ43" s="5">
        <v>-77</v>
      </c>
      <c r="AR43" s="5">
        <v>-77</v>
      </c>
      <c r="AS43" s="5">
        <v>-77</v>
      </c>
      <c r="AT43" s="5">
        <v>-77</v>
      </c>
      <c r="AU43" s="5">
        <v>-99</v>
      </c>
      <c r="AV43" s="5">
        <v>-77</v>
      </c>
      <c r="AW43" s="6">
        <v>-99</v>
      </c>
      <c r="AX43" s="6">
        <v>-99</v>
      </c>
      <c r="AY43" s="6">
        <v>1</v>
      </c>
      <c r="AZ43" s="6" t="s">
        <v>164</v>
      </c>
      <c r="BA43" s="7">
        <v>-99</v>
      </c>
    </row>
    <row r="44" spans="1:53" x14ac:dyDescent="0.25">
      <c r="A44" s="14" t="s">
        <v>422</v>
      </c>
      <c r="B44" s="2" t="s">
        <v>423</v>
      </c>
      <c r="C44" s="2" t="s">
        <v>108</v>
      </c>
      <c r="D44" s="2" t="s">
        <v>424</v>
      </c>
      <c r="E44" s="2" t="s">
        <v>425</v>
      </c>
      <c r="F44" s="2" t="s">
        <v>202</v>
      </c>
      <c r="G44" s="2" t="s">
        <v>50</v>
      </c>
      <c r="H44" s="2" t="s">
        <v>426</v>
      </c>
      <c r="I44" s="2" t="s">
        <v>427</v>
      </c>
      <c r="J44" s="3">
        <v>1</v>
      </c>
      <c r="K44" s="3">
        <v>-99</v>
      </c>
      <c r="L44" s="3" t="s">
        <v>998</v>
      </c>
      <c r="M44" s="3">
        <v>67</v>
      </c>
      <c r="N44" s="3">
        <v>0</v>
      </c>
      <c r="O44" s="4" t="s">
        <v>155</v>
      </c>
      <c r="P44" s="4">
        <v>-77</v>
      </c>
      <c r="Q44" s="4">
        <v>0</v>
      </c>
      <c r="R44" s="4" t="s">
        <v>156</v>
      </c>
      <c r="S44" s="4">
        <v>-77</v>
      </c>
      <c r="T44" s="4" t="s">
        <v>572</v>
      </c>
      <c r="U44" s="4">
        <v>-77</v>
      </c>
      <c r="V44" s="4">
        <v>-77</v>
      </c>
      <c r="W44" s="4">
        <v>-77</v>
      </c>
      <c r="X44" s="4">
        <v>100</v>
      </c>
      <c r="Y44" s="4">
        <v>0</v>
      </c>
      <c r="Z44" s="4">
        <v>-77</v>
      </c>
      <c r="AA44" s="4" t="s">
        <v>1093</v>
      </c>
      <c r="AB44" s="4">
        <v>-77</v>
      </c>
      <c r="AC44" s="5">
        <v>4</v>
      </c>
      <c r="AD44" s="5">
        <v>2</v>
      </c>
      <c r="AE44" s="5">
        <v>2</v>
      </c>
      <c r="AF44" s="5">
        <v>-77</v>
      </c>
      <c r="AG44" s="5">
        <v>-77</v>
      </c>
      <c r="AH44" s="5">
        <v>-77</v>
      </c>
      <c r="AI44" s="5">
        <v>-77</v>
      </c>
      <c r="AJ44" s="5">
        <v>-77</v>
      </c>
      <c r="AK44" s="5">
        <v>-77</v>
      </c>
      <c r="AL44" s="5">
        <v>-77</v>
      </c>
      <c r="AM44" s="5">
        <v>-77</v>
      </c>
      <c r="AN44" s="5">
        <v>-77</v>
      </c>
      <c r="AO44" s="5">
        <v>-77</v>
      </c>
      <c r="AP44" s="5">
        <v>-77</v>
      </c>
      <c r="AQ44" s="5">
        <v>-77</v>
      </c>
      <c r="AR44" s="5">
        <v>-77</v>
      </c>
      <c r="AS44" s="5">
        <v>-77</v>
      </c>
      <c r="AT44" s="5">
        <v>-77</v>
      </c>
      <c r="AU44" s="5" t="s">
        <v>577</v>
      </c>
      <c r="AV44" s="5">
        <v>-77</v>
      </c>
      <c r="AW44" s="6">
        <v>5</v>
      </c>
      <c r="AX44" s="6">
        <v>20</v>
      </c>
      <c r="AY44" s="6">
        <v>6</v>
      </c>
      <c r="AZ44" s="6" t="s">
        <v>917</v>
      </c>
      <c r="BA44" s="7">
        <v>-99</v>
      </c>
    </row>
    <row r="45" spans="1:53" x14ac:dyDescent="0.25">
      <c r="A45" s="14" t="s">
        <v>428</v>
      </c>
      <c r="B45" s="2" t="s">
        <v>429</v>
      </c>
      <c r="C45" s="2" t="s">
        <v>207</v>
      </c>
      <c r="D45" s="2" t="s">
        <v>430</v>
      </c>
      <c r="E45" s="2" t="s">
        <v>431</v>
      </c>
      <c r="F45" s="2" t="s">
        <v>432</v>
      </c>
      <c r="G45" s="2" t="s">
        <v>433</v>
      </c>
      <c r="H45" s="2" t="s">
        <v>434</v>
      </c>
      <c r="I45" s="2" t="s">
        <v>435</v>
      </c>
      <c r="J45" s="3">
        <v>1</v>
      </c>
      <c r="K45" s="3">
        <v>-99</v>
      </c>
      <c r="L45" s="3" t="s">
        <v>999</v>
      </c>
      <c r="M45" s="3">
        <v>153</v>
      </c>
      <c r="N45" s="3">
        <v>0</v>
      </c>
      <c r="O45" s="4" t="s">
        <v>155</v>
      </c>
      <c r="P45" s="4">
        <v>-77</v>
      </c>
      <c r="Q45" s="4">
        <v>-77</v>
      </c>
      <c r="R45" s="4">
        <v>-77</v>
      </c>
      <c r="S45" s="4">
        <v>-77</v>
      </c>
      <c r="T45" s="4">
        <v>-77</v>
      </c>
      <c r="U45" s="4">
        <v>-77</v>
      </c>
      <c r="V45" s="4">
        <v>-77</v>
      </c>
      <c r="W45" s="4">
        <v>-77</v>
      </c>
      <c r="X45" s="4">
        <v>-77</v>
      </c>
      <c r="Y45" s="4">
        <v>-77</v>
      </c>
      <c r="Z45" s="4">
        <v>-77</v>
      </c>
      <c r="AA45" s="4" t="s">
        <v>1085</v>
      </c>
      <c r="AB45" s="4">
        <v>-77</v>
      </c>
      <c r="AC45" s="5">
        <v>-77</v>
      </c>
      <c r="AD45" s="5">
        <v>-77</v>
      </c>
      <c r="AE45" s="5">
        <v>-77</v>
      </c>
      <c r="AF45" s="5">
        <v>-77</v>
      </c>
      <c r="AG45" s="5">
        <v>-77</v>
      </c>
      <c r="AH45" s="5">
        <v>-77</v>
      </c>
      <c r="AI45" s="5">
        <v>-77</v>
      </c>
      <c r="AJ45" s="5">
        <v>-77</v>
      </c>
      <c r="AK45" s="5">
        <v>-77</v>
      </c>
      <c r="AL45" s="5">
        <v>-77</v>
      </c>
      <c r="AM45" s="5">
        <v>-77</v>
      </c>
      <c r="AN45" s="5">
        <v>-77</v>
      </c>
      <c r="AO45" s="5">
        <v>-77</v>
      </c>
      <c r="AP45" s="5">
        <v>-77</v>
      </c>
      <c r="AQ45" s="5">
        <v>-77</v>
      </c>
      <c r="AR45" s="5">
        <v>-77</v>
      </c>
      <c r="AS45" s="5">
        <v>-77</v>
      </c>
      <c r="AT45" s="5">
        <v>-77</v>
      </c>
      <c r="AU45" s="5">
        <v>-99</v>
      </c>
      <c r="AV45" s="5">
        <v>-77</v>
      </c>
      <c r="AW45" s="6">
        <v>-99</v>
      </c>
      <c r="AX45" s="6">
        <v>-99</v>
      </c>
      <c r="AY45" s="6">
        <v>1</v>
      </c>
      <c r="AZ45" s="6" t="s">
        <v>160</v>
      </c>
      <c r="BA45" s="7">
        <v>-99</v>
      </c>
    </row>
    <row r="46" spans="1:53" x14ac:dyDescent="0.25">
      <c r="A46" s="14" t="s">
        <v>436</v>
      </c>
      <c r="B46" s="2" t="s">
        <v>437</v>
      </c>
      <c r="C46" s="2" t="s">
        <v>70</v>
      </c>
      <c r="D46" s="2" t="s">
        <v>438</v>
      </c>
      <c r="E46" s="2" t="s">
        <v>439</v>
      </c>
      <c r="F46" s="2" t="s">
        <v>89</v>
      </c>
      <c r="G46" s="2" t="s">
        <v>119</v>
      </c>
      <c r="H46" s="2" t="s">
        <v>440</v>
      </c>
      <c r="I46" s="2" t="s">
        <v>441</v>
      </c>
      <c r="J46" s="3">
        <v>1</v>
      </c>
      <c r="K46" s="3">
        <v>-99</v>
      </c>
      <c r="L46" s="3" t="s">
        <v>1000</v>
      </c>
      <c r="M46" s="3">
        <v>149</v>
      </c>
      <c r="N46" s="3">
        <v>0</v>
      </c>
      <c r="O46" s="4" t="s">
        <v>879</v>
      </c>
      <c r="P46" s="4">
        <v>-77</v>
      </c>
      <c r="Q46" s="4">
        <v>0</v>
      </c>
      <c r="R46" s="4" t="s">
        <v>156</v>
      </c>
      <c r="S46" s="4">
        <v>-77</v>
      </c>
      <c r="T46" s="4" t="s">
        <v>162</v>
      </c>
      <c r="U46" s="4" t="s">
        <v>412</v>
      </c>
      <c r="V46" s="4">
        <v>-77</v>
      </c>
      <c r="W46" s="4">
        <v>-77</v>
      </c>
      <c r="X46" s="4">
        <v>100</v>
      </c>
      <c r="Y46" s="4">
        <v>0</v>
      </c>
      <c r="Z46" s="4">
        <v>-77</v>
      </c>
      <c r="AA46" s="4" t="s">
        <v>1081</v>
      </c>
      <c r="AB46" s="4">
        <v>-77</v>
      </c>
      <c r="AC46" s="5">
        <v>4</v>
      </c>
      <c r="AD46" s="5">
        <v>2</v>
      </c>
      <c r="AE46" s="5">
        <v>2</v>
      </c>
      <c r="AF46" s="5">
        <v>-77</v>
      </c>
      <c r="AG46" s="5">
        <v>-77</v>
      </c>
      <c r="AH46" s="5">
        <v>-77</v>
      </c>
      <c r="AI46" s="5">
        <v>-77</v>
      </c>
      <c r="AJ46" s="5">
        <v>-77</v>
      </c>
      <c r="AK46" s="5">
        <v>-77</v>
      </c>
      <c r="AL46" s="5">
        <v>-77</v>
      </c>
      <c r="AM46" s="5">
        <v>-77</v>
      </c>
      <c r="AN46" s="5">
        <v>-77</v>
      </c>
      <c r="AO46" s="5">
        <v>-77</v>
      </c>
      <c r="AP46" s="5">
        <v>-77</v>
      </c>
      <c r="AQ46" s="5">
        <v>-77</v>
      </c>
      <c r="AR46" s="5">
        <v>-77</v>
      </c>
      <c r="AS46" s="5">
        <v>-77</v>
      </c>
      <c r="AT46" s="5">
        <v>-77</v>
      </c>
      <c r="AU46" s="5">
        <v>-99</v>
      </c>
      <c r="AV46" s="5">
        <v>-77</v>
      </c>
      <c r="AW46" s="6">
        <v>5</v>
      </c>
      <c r="AX46" s="6">
        <v>20</v>
      </c>
      <c r="AY46" s="6">
        <v>2</v>
      </c>
      <c r="AZ46" s="6" t="s">
        <v>918</v>
      </c>
      <c r="BA46" s="7">
        <v>-99</v>
      </c>
    </row>
    <row r="47" spans="1:53" x14ac:dyDescent="0.25">
      <c r="A47" s="14" t="s">
        <v>442</v>
      </c>
      <c r="B47" s="2" t="s">
        <v>443</v>
      </c>
      <c r="C47" s="2" t="s">
        <v>76</v>
      </c>
      <c r="D47" s="2" t="s">
        <v>444</v>
      </c>
      <c r="E47" s="2" t="s">
        <v>445</v>
      </c>
      <c r="F47" s="2" t="s">
        <v>446</v>
      </c>
      <c r="G47" s="2" t="s">
        <v>83</v>
      </c>
      <c r="H47" s="2" t="s">
        <v>447</v>
      </c>
      <c r="I47" s="2" t="s">
        <v>448</v>
      </c>
      <c r="J47" s="3">
        <v>1</v>
      </c>
      <c r="K47" s="3">
        <v>-99</v>
      </c>
      <c r="L47" s="3" t="s">
        <v>1001</v>
      </c>
      <c r="M47" s="3">
        <v>25</v>
      </c>
      <c r="N47" s="3">
        <v>0</v>
      </c>
      <c r="O47" s="4" t="s">
        <v>155</v>
      </c>
      <c r="P47" s="4">
        <v>-77</v>
      </c>
      <c r="Q47" s="4">
        <v>-77</v>
      </c>
      <c r="R47" s="4" t="s">
        <v>156</v>
      </c>
      <c r="S47" s="4">
        <v>-77</v>
      </c>
      <c r="T47" s="4" t="s">
        <v>162</v>
      </c>
      <c r="U47" s="4">
        <v>-77</v>
      </c>
      <c r="V47" s="4">
        <v>-77</v>
      </c>
      <c r="W47" s="4">
        <v>-77</v>
      </c>
      <c r="X47" s="4">
        <v>100</v>
      </c>
      <c r="Y47" s="4">
        <v>0</v>
      </c>
      <c r="Z47" s="4">
        <v>-77</v>
      </c>
      <c r="AA47" s="4" t="s">
        <v>1094</v>
      </c>
      <c r="AB47" s="4">
        <v>-77</v>
      </c>
      <c r="AC47" s="5">
        <v>4</v>
      </c>
      <c r="AD47" s="5">
        <v>2</v>
      </c>
      <c r="AE47" s="5">
        <v>2</v>
      </c>
      <c r="AF47" s="5">
        <v>40</v>
      </c>
      <c r="AG47" s="5">
        <v>-77</v>
      </c>
      <c r="AH47" s="5">
        <v>-77</v>
      </c>
      <c r="AI47" s="5">
        <v>-77</v>
      </c>
      <c r="AJ47" s="5">
        <v>-77</v>
      </c>
      <c r="AK47" s="5">
        <v>-77</v>
      </c>
      <c r="AL47" s="5">
        <v>-77</v>
      </c>
      <c r="AM47" s="5">
        <v>-77</v>
      </c>
      <c r="AN47" s="5">
        <v>-77</v>
      </c>
      <c r="AO47" s="5">
        <v>-77</v>
      </c>
      <c r="AP47" s="5">
        <v>-77</v>
      </c>
      <c r="AQ47" s="5">
        <v>-77</v>
      </c>
      <c r="AR47" s="5">
        <v>-77</v>
      </c>
      <c r="AS47" s="5">
        <v>-77</v>
      </c>
      <c r="AT47" s="5">
        <v>-77</v>
      </c>
      <c r="AU47" s="5">
        <v>-99</v>
      </c>
      <c r="AV47" s="5">
        <v>-77</v>
      </c>
      <c r="AW47" s="6">
        <v>-99</v>
      </c>
      <c r="AX47" s="6">
        <v>-99</v>
      </c>
      <c r="AY47" s="6">
        <v>2</v>
      </c>
      <c r="AZ47" s="6" t="s">
        <v>896</v>
      </c>
      <c r="BA47" s="7">
        <v>-99</v>
      </c>
    </row>
    <row r="48" spans="1:53" x14ac:dyDescent="0.25">
      <c r="A48" s="14" t="s">
        <v>449</v>
      </c>
      <c r="B48" s="2" t="s">
        <v>450</v>
      </c>
      <c r="C48" s="2" t="s">
        <v>386</v>
      </c>
      <c r="D48" s="2" t="s">
        <v>451</v>
      </c>
      <c r="E48" s="2" t="s">
        <v>250</v>
      </c>
      <c r="F48" s="2" t="s">
        <v>452</v>
      </c>
      <c r="G48" s="2" t="s">
        <v>345</v>
      </c>
      <c r="H48" s="2" t="s">
        <v>453</v>
      </c>
      <c r="I48" s="2" t="s">
        <v>454</v>
      </c>
      <c r="J48" s="3">
        <v>1</v>
      </c>
      <c r="K48" s="3">
        <v>-99</v>
      </c>
      <c r="L48" s="3" t="s">
        <v>1002</v>
      </c>
      <c r="M48" s="3">
        <f>35+38</f>
        <v>73</v>
      </c>
      <c r="N48" s="3">
        <v>0</v>
      </c>
      <c r="O48" s="4" t="s">
        <v>155</v>
      </c>
      <c r="P48" s="4">
        <v>-77</v>
      </c>
      <c r="Q48" s="4">
        <v>-77</v>
      </c>
      <c r="R48" s="4">
        <v>-77</v>
      </c>
      <c r="S48" s="4">
        <v>-77</v>
      </c>
      <c r="T48" s="4">
        <v>-77</v>
      </c>
      <c r="U48" s="4">
        <v>-77</v>
      </c>
      <c r="V48" s="4">
        <v>-77</v>
      </c>
      <c r="W48" s="4">
        <v>-77</v>
      </c>
      <c r="X48" s="4">
        <v>-77</v>
      </c>
      <c r="Y48" s="4">
        <v>-77</v>
      </c>
      <c r="Z48" s="4">
        <v>-77</v>
      </c>
      <c r="AA48" s="4" t="s">
        <v>573</v>
      </c>
      <c r="AB48" s="4">
        <v>-77</v>
      </c>
      <c r="AC48" s="5">
        <v>4</v>
      </c>
      <c r="AD48" s="5">
        <v>2</v>
      </c>
      <c r="AE48" s="5">
        <v>2</v>
      </c>
      <c r="AF48" s="5">
        <v>-77</v>
      </c>
      <c r="AG48" s="5">
        <v>-55</v>
      </c>
      <c r="AH48" s="5" t="s">
        <v>963</v>
      </c>
      <c r="AI48" s="5" t="s">
        <v>964</v>
      </c>
      <c r="AJ48" s="5" t="s">
        <v>964</v>
      </c>
      <c r="AK48" s="5" t="s">
        <v>964</v>
      </c>
      <c r="AL48" s="5" t="s">
        <v>964</v>
      </c>
      <c r="AM48" s="5">
        <v>20</v>
      </c>
      <c r="AN48" s="5">
        <v>20</v>
      </c>
      <c r="AO48" s="5">
        <v>20</v>
      </c>
      <c r="AP48" s="5">
        <v>20</v>
      </c>
      <c r="AQ48" s="16">
        <v>0.5</v>
      </c>
      <c r="AR48" s="16">
        <v>0.1</v>
      </c>
      <c r="AS48" s="16">
        <v>0.5</v>
      </c>
      <c r="AT48" s="16">
        <v>0.1</v>
      </c>
      <c r="AU48" s="5" t="s">
        <v>573</v>
      </c>
      <c r="AV48" s="5">
        <v>1</v>
      </c>
      <c r="AW48" s="6">
        <v>5</v>
      </c>
      <c r="AX48" s="6">
        <v>20</v>
      </c>
      <c r="AY48" s="6">
        <v>2</v>
      </c>
      <c r="AZ48" s="6" t="s">
        <v>919</v>
      </c>
      <c r="BA48" s="7">
        <v>-99</v>
      </c>
    </row>
    <row r="49" spans="1:53" x14ac:dyDescent="0.25">
      <c r="A49" s="14" t="s">
        <v>455</v>
      </c>
      <c r="B49" s="2" t="s">
        <v>456</v>
      </c>
      <c r="C49" s="2" t="s">
        <v>108</v>
      </c>
      <c r="D49" s="2" t="s">
        <v>457</v>
      </c>
      <c r="E49" s="2" t="s">
        <v>458</v>
      </c>
      <c r="F49" s="2" t="s">
        <v>459</v>
      </c>
      <c r="G49" s="2" t="s">
        <v>80</v>
      </c>
      <c r="H49" s="2" t="s">
        <v>460</v>
      </c>
      <c r="I49" s="2" t="s">
        <v>461</v>
      </c>
      <c r="J49" s="3">
        <v>1</v>
      </c>
      <c r="K49" s="3">
        <v>-99</v>
      </c>
      <c r="L49" s="3" t="s">
        <v>1003</v>
      </c>
      <c r="M49" s="3">
        <v>32</v>
      </c>
      <c r="N49" s="3">
        <v>0</v>
      </c>
      <c r="O49" s="4" t="s">
        <v>155</v>
      </c>
      <c r="P49" s="4">
        <v>-77</v>
      </c>
      <c r="Q49" s="4">
        <v>0</v>
      </c>
      <c r="R49" s="4" t="s">
        <v>156</v>
      </c>
      <c r="S49" s="4" t="s">
        <v>574</v>
      </c>
      <c r="T49" s="4" t="s">
        <v>575</v>
      </c>
      <c r="U49" s="4">
        <v>-77</v>
      </c>
      <c r="V49" s="4">
        <v>-77</v>
      </c>
      <c r="W49" s="4">
        <v>-77</v>
      </c>
      <c r="X49" s="4">
        <v>100</v>
      </c>
      <c r="Y49" s="4">
        <v>0</v>
      </c>
      <c r="Z49" s="4">
        <v>-77</v>
      </c>
      <c r="AA49" s="4" t="s">
        <v>1095</v>
      </c>
      <c r="AB49" s="4">
        <v>-77</v>
      </c>
      <c r="AC49" s="5">
        <v>4</v>
      </c>
      <c r="AD49" s="5">
        <v>2</v>
      </c>
      <c r="AE49" s="5">
        <v>2</v>
      </c>
      <c r="AF49" s="5">
        <v>-77</v>
      </c>
      <c r="AG49" s="5">
        <v>-77</v>
      </c>
      <c r="AH49" s="5">
        <v>-77</v>
      </c>
      <c r="AI49" s="5" t="s">
        <v>576</v>
      </c>
      <c r="AJ49" s="5" t="s">
        <v>576</v>
      </c>
      <c r="AK49" s="5" t="s">
        <v>576</v>
      </c>
      <c r="AL49" s="5" t="s">
        <v>576</v>
      </c>
      <c r="AM49" s="5">
        <v>-77</v>
      </c>
      <c r="AN49" s="5">
        <v>-77</v>
      </c>
      <c r="AO49" s="5">
        <v>-77</v>
      </c>
      <c r="AP49" s="5">
        <v>-77</v>
      </c>
      <c r="AQ49" s="5">
        <v>-77</v>
      </c>
      <c r="AR49" s="5">
        <v>-77</v>
      </c>
      <c r="AS49" s="5">
        <v>-77</v>
      </c>
      <c r="AT49" s="5">
        <v>-77</v>
      </c>
      <c r="AU49" s="5">
        <v>-99</v>
      </c>
      <c r="AV49" s="5">
        <v>-77</v>
      </c>
      <c r="AW49" s="6">
        <v>5</v>
      </c>
      <c r="AX49" s="6">
        <v>20</v>
      </c>
      <c r="AY49" s="6">
        <v>2</v>
      </c>
      <c r="AZ49" s="6" t="s">
        <v>927</v>
      </c>
      <c r="BA49" s="7">
        <v>-99</v>
      </c>
    </row>
    <row r="50" spans="1:53" x14ac:dyDescent="0.25">
      <c r="A50" s="14" t="s">
        <v>462</v>
      </c>
      <c r="B50" s="2" t="s">
        <v>463</v>
      </c>
      <c r="C50" s="2" t="s">
        <v>86</v>
      </c>
      <c r="D50" s="2" t="s">
        <v>464</v>
      </c>
      <c r="E50" s="2" t="s">
        <v>88</v>
      </c>
      <c r="F50" s="2" t="s">
        <v>111</v>
      </c>
      <c r="G50" s="2"/>
      <c r="H50" s="2" t="s">
        <v>465</v>
      </c>
      <c r="I50" s="2" t="s">
        <v>466</v>
      </c>
      <c r="J50" s="3">
        <v>1</v>
      </c>
      <c r="K50" s="3">
        <v>-99</v>
      </c>
      <c r="L50" s="3" t="s">
        <v>1042</v>
      </c>
      <c r="M50" s="3">
        <v>78</v>
      </c>
      <c r="N50" s="3">
        <v>0</v>
      </c>
      <c r="O50" s="4" t="s">
        <v>155</v>
      </c>
      <c r="P50" s="4">
        <v>-77</v>
      </c>
      <c r="Q50" s="4">
        <v>-77</v>
      </c>
      <c r="R50" s="4" t="s">
        <v>156</v>
      </c>
      <c r="S50" s="4" t="s">
        <v>157</v>
      </c>
      <c r="T50" s="4" t="s">
        <v>578</v>
      </c>
      <c r="U50" s="4">
        <v>-77</v>
      </c>
      <c r="V50" s="4">
        <v>-77</v>
      </c>
      <c r="W50" s="4">
        <v>1</v>
      </c>
      <c r="X50" s="4">
        <v>100</v>
      </c>
      <c r="Y50" s="4">
        <v>0</v>
      </c>
      <c r="Z50" s="4" t="s">
        <v>402</v>
      </c>
      <c r="AA50" s="4" t="s">
        <v>1096</v>
      </c>
      <c r="AB50" s="4">
        <v>1</v>
      </c>
      <c r="AC50" s="5">
        <v>4</v>
      </c>
      <c r="AD50" s="5">
        <v>2</v>
      </c>
      <c r="AE50" s="5">
        <v>2</v>
      </c>
      <c r="AF50" s="5">
        <v>-77</v>
      </c>
      <c r="AG50" s="5">
        <v>-77</v>
      </c>
      <c r="AH50" s="5">
        <v>-77</v>
      </c>
      <c r="AI50" s="5">
        <v>-77</v>
      </c>
      <c r="AJ50" s="5">
        <v>-77</v>
      </c>
      <c r="AK50" s="5">
        <v>-77</v>
      </c>
      <c r="AL50" s="5">
        <v>-77</v>
      </c>
      <c r="AM50" s="5">
        <v>-77</v>
      </c>
      <c r="AN50" s="5">
        <v>-77</v>
      </c>
      <c r="AO50" s="5">
        <v>-77</v>
      </c>
      <c r="AP50" s="5">
        <v>-77</v>
      </c>
      <c r="AQ50" s="5">
        <v>-77</v>
      </c>
      <c r="AR50" s="5">
        <v>-77</v>
      </c>
      <c r="AS50" s="5">
        <v>-77</v>
      </c>
      <c r="AT50" s="5">
        <v>-77</v>
      </c>
      <c r="AU50" s="5">
        <v>-99</v>
      </c>
      <c r="AV50" s="5">
        <v>-77</v>
      </c>
      <c r="AW50" s="6">
        <v>-99</v>
      </c>
      <c r="AX50" s="6">
        <v>-99</v>
      </c>
      <c r="AY50" s="6">
        <v>1</v>
      </c>
      <c r="AZ50" s="6" t="s">
        <v>164</v>
      </c>
      <c r="BA50" s="7">
        <v>-99</v>
      </c>
    </row>
    <row r="51" spans="1:53" x14ac:dyDescent="0.25">
      <c r="A51" s="14" t="s">
        <v>467</v>
      </c>
      <c r="B51" s="2" t="s">
        <v>468</v>
      </c>
      <c r="C51" s="2" t="s">
        <v>54</v>
      </c>
      <c r="D51" s="2" t="s">
        <v>469</v>
      </c>
      <c r="E51" s="2" t="s">
        <v>470</v>
      </c>
      <c r="F51" s="2" t="s">
        <v>80</v>
      </c>
      <c r="G51" s="2" t="s">
        <v>83</v>
      </c>
      <c r="H51" s="2" t="s">
        <v>471</v>
      </c>
      <c r="I51" s="2" t="s">
        <v>472</v>
      </c>
      <c r="J51" s="3">
        <v>1</v>
      </c>
      <c r="K51" s="3">
        <v>-99</v>
      </c>
      <c r="L51" s="3" t="s">
        <v>1004</v>
      </c>
      <c r="M51" s="3">
        <v>70</v>
      </c>
      <c r="N51" s="3">
        <v>0</v>
      </c>
      <c r="O51" s="4" t="s">
        <v>953</v>
      </c>
      <c r="P51" s="4">
        <v>-77</v>
      </c>
      <c r="Q51" s="4">
        <v>0</v>
      </c>
      <c r="R51" s="4" t="s">
        <v>156</v>
      </c>
      <c r="S51" s="4" t="s">
        <v>157</v>
      </c>
      <c r="T51" s="4">
        <v>-77</v>
      </c>
      <c r="U51" s="4">
        <v>-77</v>
      </c>
      <c r="V51" s="4">
        <v>-77</v>
      </c>
      <c r="W51" s="4">
        <v>-77</v>
      </c>
      <c r="X51" s="4">
        <v>100</v>
      </c>
      <c r="Y51" s="4">
        <v>0</v>
      </c>
      <c r="Z51" s="4">
        <v>-77</v>
      </c>
      <c r="AA51" s="4" t="s">
        <v>1097</v>
      </c>
      <c r="AB51" s="4">
        <v>0</v>
      </c>
      <c r="AC51" s="5">
        <v>4</v>
      </c>
      <c r="AD51" s="5">
        <v>2</v>
      </c>
      <c r="AE51" s="5">
        <v>2</v>
      </c>
      <c r="AF51" s="5">
        <v>40</v>
      </c>
      <c r="AG51" s="5" t="s">
        <v>166</v>
      </c>
      <c r="AH51" s="5" t="s">
        <v>179</v>
      </c>
      <c r="AI51" s="5" t="s">
        <v>178</v>
      </c>
      <c r="AJ51" s="5" t="s">
        <v>178</v>
      </c>
      <c r="AK51" s="5" t="s">
        <v>178</v>
      </c>
      <c r="AL51" s="5" t="s">
        <v>178</v>
      </c>
      <c r="AM51" s="5">
        <v>10</v>
      </c>
      <c r="AN51" s="5">
        <v>10</v>
      </c>
      <c r="AO51" s="5">
        <v>10</v>
      </c>
      <c r="AP51" s="5">
        <v>10</v>
      </c>
      <c r="AQ51" s="16">
        <v>0.5</v>
      </c>
      <c r="AR51" s="16">
        <v>0.1</v>
      </c>
      <c r="AS51" s="16">
        <v>0.5</v>
      </c>
      <c r="AT51" s="16">
        <v>0.1</v>
      </c>
      <c r="AU51" s="5" t="s">
        <v>579</v>
      </c>
      <c r="AV51" s="5">
        <v>0</v>
      </c>
      <c r="AW51" s="6">
        <v>5</v>
      </c>
      <c r="AX51" s="6">
        <v>20</v>
      </c>
      <c r="AY51" s="6">
        <v>2</v>
      </c>
      <c r="AZ51" s="6" t="s">
        <v>896</v>
      </c>
      <c r="BA51" s="7">
        <v>-99</v>
      </c>
    </row>
    <row r="52" spans="1:53" x14ac:dyDescent="0.25">
      <c r="A52" s="14" t="s">
        <v>473</v>
      </c>
      <c r="B52" s="2" t="s">
        <v>474</v>
      </c>
      <c r="C52" s="2" t="s">
        <v>183</v>
      </c>
      <c r="D52" s="2" t="s">
        <v>475</v>
      </c>
      <c r="E52" s="2" t="s">
        <v>476</v>
      </c>
      <c r="F52" s="2" t="s">
        <v>477</v>
      </c>
      <c r="G52" s="2" t="s">
        <v>83</v>
      </c>
      <c r="H52" s="2" t="s">
        <v>478</v>
      </c>
      <c r="I52" s="2" t="s">
        <v>479</v>
      </c>
      <c r="J52" s="3">
        <v>1</v>
      </c>
      <c r="K52" s="3">
        <v>-99</v>
      </c>
      <c r="L52" s="3" t="s">
        <v>974</v>
      </c>
      <c r="M52" s="3">
        <v>62</v>
      </c>
      <c r="N52" s="3">
        <v>0</v>
      </c>
      <c r="O52" s="4" t="s">
        <v>1047</v>
      </c>
      <c r="P52" s="4" t="s">
        <v>958</v>
      </c>
      <c r="Q52" s="4">
        <v>0</v>
      </c>
      <c r="R52" s="4" t="s">
        <v>156</v>
      </c>
      <c r="S52" s="4" t="s">
        <v>157</v>
      </c>
      <c r="T52" s="4" t="s">
        <v>580</v>
      </c>
      <c r="U52" s="4">
        <v>-77</v>
      </c>
      <c r="V52" s="4">
        <v>-77</v>
      </c>
      <c r="W52" s="4">
        <v>-77</v>
      </c>
      <c r="X52" s="4">
        <v>100</v>
      </c>
      <c r="Y52" s="4">
        <v>0</v>
      </c>
      <c r="Z52" s="4">
        <v>-77</v>
      </c>
      <c r="AA52" s="4" t="s">
        <v>1098</v>
      </c>
      <c r="AB52" s="4">
        <v>0</v>
      </c>
      <c r="AC52" s="5">
        <v>4</v>
      </c>
      <c r="AD52" s="5">
        <v>2</v>
      </c>
      <c r="AE52" s="5">
        <v>2</v>
      </c>
      <c r="AF52" s="5">
        <v>40</v>
      </c>
      <c r="AG52" s="5" t="s">
        <v>166</v>
      </c>
      <c r="AH52" s="5" t="s">
        <v>179</v>
      </c>
      <c r="AI52" s="5" t="s">
        <v>178</v>
      </c>
      <c r="AJ52" s="5" t="s">
        <v>178</v>
      </c>
      <c r="AK52" s="5" t="s">
        <v>178</v>
      </c>
      <c r="AL52" s="5" t="s">
        <v>178</v>
      </c>
      <c r="AM52" s="5">
        <v>10</v>
      </c>
      <c r="AN52" s="5">
        <v>10</v>
      </c>
      <c r="AO52" s="5">
        <v>10</v>
      </c>
      <c r="AP52" s="5">
        <v>10</v>
      </c>
      <c r="AQ52" s="5">
        <v>-77</v>
      </c>
      <c r="AR52" s="5">
        <v>-77</v>
      </c>
      <c r="AS52" s="5">
        <v>-77</v>
      </c>
      <c r="AT52" s="5">
        <v>-77</v>
      </c>
      <c r="AU52" s="5" t="s">
        <v>1099</v>
      </c>
      <c r="AV52" s="5">
        <v>0</v>
      </c>
      <c r="AW52" s="6">
        <v>-99</v>
      </c>
      <c r="AX52" s="6">
        <v>-99</v>
      </c>
      <c r="AY52" s="6">
        <v>1</v>
      </c>
      <c r="AZ52" s="6" t="s">
        <v>180</v>
      </c>
      <c r="BA52" s="7">
        <v>-99</v>
      </c>
    </row>
    <row r="53" spans="1:53" x14ac:dyDescent="0.25">
      <c r="A53" s="14" t="s">
        <v>480</v>
      </c>
      <c r="B53" s="2" t="s">
        <v>481</v>
      </c>
      <c r="C53" s="2" t="s">
        <v>54</v>
      </c>
      <c r="D53" s="2" t="s">
        <v>482</v>
      </c>
      <c r="E53" s="2" t="s">
        <v>458</v>
      </c>
      <c r="F53" s="2" t="s">
        <v>483</v>
      </c>
      <c r="G53" s="2" t="s">
        <v>98</v>
      </c>
      <c r="H53" s="2" t="s">
        <v>484</v>
      </c>
      <c r="I53" s="2" t="s">
        <v>485</v>
      </c>
      <c r="J53" s="3">
        <v>2</v>
      </c>
      <c r="K53" s="3" t="s">
        <v>581</v>
      </c>
      <c r="L53" s="3" t="s">
        <v>1005</v>
      </c>
      <c r="M53" s="3">
        <f>14+32</f>
        <v>46</v>
      </c>
      <c r="N53" s="3">
        <v>0</v>
      </c>
      <c r="O53" s="4" t="s">
        <v>954</v>
      </c>
      <c r="P53" s="4">
        <v>-77</v>
      </c>
      <c r="Q53" s="4">
        <v>0</v>
      </c>
      <c r="R53" s="4" t="s">
        <v>156</v>
      </c>
      <c r="S53" s="4" t="s">
        <v>582</v>
      </c>
      <c r="T53" s="4" t="s">
        <v>410</v>
      </c>
      <c r="U53" s="4">
        <v>-77</v>
      </c>
      <c r="V53" s="4" t="s">
        <v>583</v>
      </c>
      <c r="W53" s="4">
        <v>-77</v>
      </c>
      <c r="X53" s="4">
        <v>100</v>
      </c>
      <c r="Y53" s="4">
        <v>0</v>
      </c>
      <c r="Z53" s="4">
        <v>-77</v>
      </c>
      <c r="AA53" s="4" t="s">
        <v>1100</v>
      </c>
      <c r="AB53" s="4">
        <v>0</v>
      </c>
      <c r="AC53" s="5">
        <v>4</v>
      </c>
      <c r="AD53" s="5">
        <v>2</v>
      </c>
      <c r="AE53" s="5">
        <v>2</v>
      </c>
      <c r="AF53" s="5">
        <v>-77</v>
      </c>
      <c r="AG53" s="19" t="s">
        <v>584</v>
      </c>
      <c r="AH53" s="19" t="s">
        <v>585</v>
      </c>
      <c r="AI53" s="5" t="s">
        <v>586</v>
      </c>
      <c r="AJ53" s="5" t="s">
        <v>586</v>
      </c>
      <c r="AK53" s="5" t="s">
        <v>586</v>
      </c>
      <c r="AL53" s="5" t="s">
        <v>586</v>
      </c>
      <c r="AM53" s="5">
        <v>10</v>
      </c>
      <c r="AN53" s="5">
        <v>10</v>
      </c>
      <c r="AO53" s="5">
        <v>10</v>
      </c>
      <c r="AP53" s="5">
        <v>10</v>
      </c>
      <c r="AQ53" s="16">
        <v>0.5</v>
      </c>
      <c r="AR53" s="16">
        <v>0.1</v>
      </c>
      <c r="AS53" s="16">
        <v>0.5</v>
      </c>
      <c r="AT53" s="16">
        <v>0.1</v>
      </c>
      <c r="AU53" s="5" t="s">
        <v>610</v>
      </c>
      <c r="AV53" s="5">
        <v>1</v>
      </c>
      <c r="AW53" s="6">
        <v>5</v>
      </c>
      <c r="AX53" s="6">
        <v>20</v>
      </c>
      <c r="AY53" s="6">
        <v>3</v>
      </c>
      <c r="AZ53" s="6" t="s">
        <v>918</v>
      </c>
      <c r="BA53" s="7">
        <v>-99</v>
      </c>
    </row>
    <row r="54" spans="1:53" x14ac:dyDescent="0.25">
      <c r="A54" s="14" t="s">
        <v>486</v>
      </c>
      <c r="B54" s="2" t="s">
        <v>487</v>
      </c>
      <c r="C54" s="2" t="s">
        <v>76</v>
      </c>
      <c r="D54" s="2" t="s">
        <v>488</v>
      </c>
      <c r="E54" s="2" t="s">
        <v>489</v>
      </c>
      <c r="F54" s="2" t="s">
        <v>310</v>
      </c>
      <c r="G54" s="2" t="s">
        <v>73</v>
      </c>
      <c r="H54" s="2" t="s">
        <v>490</v>
      </c>
      <c r="I54" s="2" t="s">
        <v>491</v>
      </c>
      <c r="J54" s="3">
        <v>2</v>
      </c>
      <c r="K54" s="3" t="s">
        <v>587</v>
      </c>
      <c r="L54" s="3" t="s">
        <v>1006</v>
      </c>
      <c r="M54" s="3">
        <v>39</v>
      </c>
      <c r="N54" s="3">
        <v>0</v>
      </c>
      <c r="O54" s="4" t="s">
        <v>155</v>
      </c>
      <c r="P54" s="4">
        <v>-77</v>
      </c>
      <c r="Q54" s="4">
        <v>0</v>
      </c>
      <c r="R54" s="4" t="s">
        <v>156</v>
      </c>
      <c r="S54" s="4">
        <v>-77</v>
      </c>
      <c r="T54" s="4">
        <v>-77</v>
      </c>
      <c r="U54" s="4">
        <v>-77</v>
      </c>
      <c r="V54" s="4" t="s">
        <v>588</v>
      </c>
      <c r="W54" s="4">
        <v>-77</v>
      </c>
      <c r="X54" s="4">
        <v>100</v>
      </c>
      <c r="Y54" s="4">
        <v>0</v>
      </c>
      <c r="Z54" s="4">
        <v>-77</v>
      </c>
      <c r="AA54" s="4" t="s">
        <v>1101</v>
      </c>
      <c r="AB54" s="4">
        <v>1</v>
      </c>
      <c r="AC54" s="5">
        <v>4</v>
      </c>
      <c r="AD54" s="5">
        <v>2</v>
      </c>
      <c r="AE54" s="5">
        <v>2</v>
      </c>
      <c r="AF54" s="5">
        <v>-77</v>
      </c>
      <c r="AG54" s="5">
        <v>-77</v>
      </c>
      <c r="AH54" s="5">
        <v>-77</v>
      </c>
      <c r="AI54" s="5">
        <v>-77</v>
      </c>
      <c r="AJ54" s="5">
        <v>-77</v>
      </c>
      <c r="AK54" s="5">
        <v>-77</v>
      </c>
      <c r="AL54" s="5">
        <v>-77</v>
      </c>
      <c r="AM54" s="5">
        <v>-77</v>
      </c>
      <c r="AN54" s="5">
        <v>-77</v>
      </c>
      <c r="AO54" s="5">
        <v>-77</v>
      </c>
      <c r="AP54" s="5">
        <v>-77</v>
      </c>
      <c r="AQ54" s="5">
        <v>-77</v>
      </c>
      <c r="AR54" s="5">
        <v>-77</v>
      </c>
      <c r="AS54" s="5">
        <v>-77</v>
      </c>
      <c r="AT54" s="5">
        <v>-77</v>
      </c>
      <c r="AU54" s="5">
        <v>-99</v>
      </c>
      <c r="AV54" s="5">
        <v>0</v>
      </c>
      <c r="AW54" s="6">
        <v>-99</v>
      </c>
      <c r="AX54" s="6">
        <v>-99</v>
      </c>
      <c r="AY54" s="6">
        <v>1</v>
      </c>
      <c r="AZ54" s="6" t="s">
        <v>163</v>
      </c>
      <c r="BA54" s="7">
        <v>-99</v>
      </c>
    </row>
    <row r="55" spans="1:53" x14ac:dyDescent="0.25">
      <c r="A55" s="14" t="s">
        <v>492</v>
      </c>
      <c r="B55" s="2" t="s">
        <v>493</v>
      </c>
      <c r="C55" s="2" t="s">
        <v>108</v>
      </c>
      <c r="D55" s="2" t="s">
        <v>494</v>
      </c>
      <c r="E55" s="2" t="s">
        <v>495</v>
      </c>
      <c r="F55" s="2" t="s">
        <v>496</v>
      </c>
      <c r="G55" s="2" t="s">
        <v>79</v>
      </c>
      <c r="H55" s="2" t="s">
        <v>497</v>
      </c>
      <c r="I55" s="2" t="s">
        <v>498</v>
      </c>
      <c r="J55" s="3">
        <v>1</v>
      </c>
      <c r="K55" s="3">
        <v>-99</v>
      </c>
      <c r="L55" s="3" t="s">
        <v>1007</v>
      </c>
      <c r="M55" s="3">
        <v>107</v>
      </c>
      <c r="N55" s="3">
        <v>0</v>
      </c>
      <c r="O55" s="4" t="s">
        <v>292</v>
      </c>
      <c r="P55" s="4">
        <v>-77</v>
      </c>
      <c r="Q55" s="4">
        <v>0</v>
      </c>
      <c r="R55" s="4" t="s">
        <v>156</v>
      </c>
      <c r="S55" s="4">
        <v>-77</v>
      </c>
      <c r="T55" s="4" t="s">
        <v>162</v>
      </c>
      <c r="U55" s="4">
        <v>-77</v>
      </c>
      <c r="V55" s="4" t="s">
        <v>589</v>
      </c>
      <c r="W55" s="4">
        <v>-77</v>
      </c>
      <c r="X55" s="4">
        <v>100</v>
      </c>
      <c r="Y55" s="4">
        <v>0</v>
      </c>
      <c r="Z55" s="4">
        <v>-77</v>
      </c>
      <c r="AA55" s="4" t="s">
        <v>1102</v>
      </c>
      <c r="AB55" s="4">
        <v>-77</v>
      </c>
      <c r="AC55" s="5">
        <v>4</v>
      </c>
      <c r="AD55" s="5">
        <v>2</v>
      </c>
      <c r="AE55" s="5">
        <v>2</v>
      </c>
      <c r="AF55" s="5">
        <v>-77</v>
      </c>
      <c r="AG55" s="5">
        <v>-77</v>
      </c>
      <c r="AH55" s="5">
        <v>-77</v>
      </c>
      <c r="AI55" s="5">
        <v>-77</v>
      </c>
      <c r="AJ55" s="5">
        <v>-77</v>
      </c>
      <c r="AK55" s="5">
        <v>-77</v>
      </c>
      <c r="AL55" s="5">
        <v>-77</v>
      </c>
      <c r="AM55" s="5">
        <v>-77</v>
      </c>
      <c r="AN55" s="5">
        <v>-77</v>
      </c>
      <c r="AO55" s="5">
        <v>-77</v>
      </c>
      <c r="AP55" s="5">
        <v>-77</v>
      </c>
      <c r="AQ55" s="5">
        <v>-77</v>
      </c>
      <c r="AR55" s="5">
        <v>-77</v>
      </c>
      <c r="AS55" s="5">
        <v>-77</v>
      </c>
      <c r="AT55" s="5">
        <v>-77</v>
      </c>
      <c r="AU55" s="5">
        <v>-99</v>
      </c>
      <c r="AV55" s="5">
        <v>-77</v>
      </c>
      <c r="AW55" s="6">
        <v>5</v>
      </c>
      <c r="AX55" s="6">
        <v>20</v>
      </c>
      <c r="AY55" s="6">
        <v>3</v>
      </c>
      <c r="AZ55" s="6" t="s">
        <v>920</v>
      </c>
      <c r="BA55" s="7" t="s">
        <v>590</v>
      </c>
    </row>
    <row r="56" spans="1:53" x14ac:dyDescent="0.25">
      <c r="A56" s="14" t="s">
        <v>499</v>
      </c>
      <c r="B56" s="2" t="s">
        <v>500</v>
      </c>
      <c r="C56" s="2" t="s">
        <v>183</v>
      </c>
      <c r="D56" s="2" t="s">
        <v>501</v>
      </c>
      <c r="E56" s="2" t="s">
        <v>502</v>
      </c>
      <c r="F56" s="2" t="s">
        <v>503</v>
      </c>
      <c r="G56" s="2" t="s">
        <v>504</v>
      </c>
      <c r="H56" s="2"/>
      <c r="I56" s="2" t="s">
        <v>505</v>
      </c>
      <c r="J56" s="3">
        <v>1</v>
      </c>
      <c r="K56" s="3">
        <v>-99</v>
      </c>
      <c r="L56" s="3" t="s">
        <v>1008</v>
      </c>
      <c r="M56" s="3">
        <f>35+39</f>
        <v>74</v>
      </c>
      <c r="N56" s="3">
        <v>0</v>
      </c>
      <c r="O56" s="4" t="s">
        <v>591</v>
      </c>
      <c r="P56" s="4" t="s">
        <v>957</v>
      </c>
      <c r="Q56" s="4">
        <v>0</v>
      </c>
      <c r="R56" s="4" t="s">
        <v>156</v>
      </c>
      <c r="S56" s="4">
        <v>-77</v>
      </c>
      <c r="T56" s="4">
        <v>-77</v>
      </c>
      <c r="U56" s="4">
        <v>-77</v>
      </c>
      <c r="V56" s="4" t="s">
        <v>592</v>
      </c>
      <c r="W56" s="4">
        <v>-77</v>
      </c>
      <c r="X56" s="4">
        <v>100</v>
      </c>
      <c r="Y56" s="4">
        <v>0</v>
      </c>
      <c r="Z56" s="4">
        <v>-77</v>
      </c>
      <c r="AA56" s="4" t="s">
        <v>1103</v>
      </c>
      <c r="AB56" s="4">
        <v>-77</v>
      </c>
      <c r="AC56" s="5">
        <v>4</v>
      </c>
      <c r="AD56" s="5">
        <v>2</v>
      </c>
      <c r="AE56" s="5">
        <v>2</v>
      </c>
      <c r="AF56" s="5">
        <v>-77</v>
      </c>
      <c r="AG56" s="5">
        <v>-77</v>
      </c>
      <c r="AH56" s="5">
        <v>-77</v>
      </c>
      <c r="AI56" s="5">
        <v>-55</v>
      </c>
      <c r="AJ56" s="5">
        <v>-55</v>
      </c>
      <c r="AK56" s="5">
        <v>-55</v>
      </c>
      <c r="AL56" s="5">
        <v>-55</v>
      </c>
      <c r="AM56" s="5">
        <v>10</v>
      </c>
      <c r="AN56" s="5">
        <v>10</v>
      </c>
      <c r="AO56" s="5">
        <v>10</v>
      </c>
      <c r="AP56" s="5">
        <v>10</v>
      </c>
      <c r="AQ56" s="5">
        <v>-55</v>
      </c>
      <c r="AR56" s="5">
        <v>-77</v>
      </c>
      <c r="AS56" s="5">
        <v>-55</v>
      </c>
      <c r="AT56" s="5">
        <v>-77</v>
      </c>
      <c r="AU56" s="5">
        <v>-99</v>
      </c>
      <c r="AV56" s="5">
        <v>1</v>
      </c>
      <c r="AW56" s="6">
        <v>5</v>
      </c>
      <c r="AX56" s="6">
        <v>20</v>
      </c>
      <c r="AY56" s="6">
        <v>5</v>
      </c>
      <c r="AZ56" s="6" t="s">
        <v>921</v>
      </c>
      <c r="BA56" s="7">
        <v>-99</v>
      </c>
    </row>
    <row r="57" spans="1:53" x14ac:dyDescent="0.25">
      <c r="A57" s="14" t="s">
        <v>506</v>
      </c>
      <c r="B57" s="2" t="s">
        <v>507</v>
      </c>
      <c r="C57" s="2" t="s">
        <v>76</v>
      </c>
      <c r="D57" s="2" t="s">
        <v>508</v>
      </c>
      <c r="E57" s="2" t="s">
        <v>509</v>
      </c>
      <c r="F57" s="2" t="s">
        <v>510</v>
      </c>
      <c r="G57" s="2" t="s">
        <v>80</v>
      </c>
      <c r="H57" s="2" t="s">
        <v>511</v>
      </c>
      <c r="I57" s="2" t="s">
        <v>512</v>
      </c>
      <c r="J57" s="3">
        <v>1</v>
      </c>
      <c r="K57" s="3">
        <v>-99</v>
      </c>
      <c r="L57" s="3" t="s">
        <v>1009</v>
      </c>
      <c r="M57" s="3">
        <v>31</v>
      </c>
      <c r="N57" s="3">
        <v>0</v>
      </c>
      <c r="O57" s="4" t="s">
        <v>155</v>
      </c>
      <c r="P57" s="4">
        <v>-77</v>
      </c>
      <c r="Q57" s="4">
        <v>0</v>
      </c>
      <c r="R57" s="4" t="s">
        <v>156</v>
      </c>
      <c r="S57" s="4" t="s">
        <v>593</v>
      </c>
      <c r="T57" s="4" t="s">
        <v>162</v>
      </c>
      <c r="U57" s="4">
        <v>-77</v>
      </c>
      <c r="V57" s="4">
        <v>-77</v>
      </c>
      <c r="W57" s="4">
        <v>-77</v>
      </c>
      <c r="X57" s="4">
        <v>100</v>
      </c>
      <c r="Y57" s="4">
        <v>0</v>
      </c>
      <c r="Z57" s="4" t="s">
        <v>287</v>
      </c>
      <c r="AA57" s="4" t="s">
        <v>1104</v>
      </c>
      <c r="AB57" s="4">
        <v>-77</v>
      </c>
      <c r="AC57" s="5">
        <v>4</v>
      </c>
      <c r="AD57" s="5">
        <v>2</v>
      </c>
      <c r="AE57" s="5">
        <v>2</v>
      </c>
      <c r="AF57" s="5">
        <v>-77</v>
      </c>
      <c r="AG57" s="5">
        <v>-77</v>
      </c>
      <c r="AH57" s="5">
        <v>-77</v>
      </c>
      <c r="AI57" s="5">
        <v>-77</v>
      </c>
      <c r="AJ57" s="5">
        <v>-77</v>
      </c>
      <c r="AK57" s="5">
        <v>-77</v>
      </c>
      <c r="AL57" s="5">
        <v>-77</v>
      </c>
      <c r="AM57" s="5">
        <v>-77</v>
      </c>
      <c r="AN57" s="5">
        <v>-77</v>
      </c>
      <c r="AO57" s="5">
        <v>-77</v>
      </c>
      <c r="AP57" s="5">
        <v>-77</v>
      </c>
      <c r="AQ57" s="5">
        <v>-77</v>
      </c>
      <c r="AR57" s="5">
        <v>-77</v>
      </c>
      <c r="AS57" s="5">
        <v>-77</v>
      </c>
      <c r="AT57" s="5">
        <v>-77</v>
      </c>
      <c r="AU57" s="5">
        <v>-99</v>
      </c>
      <c r="AV57" s="5">
        <v>-77</v>
      </c>
      <c r="AW57" s="6">
        <v>5</v>
      </c>
      <c r="AX57" s="6">
        <v>20</v>
      </c>
      <c r="AY57" s="6">
        <v>1</v>
      </c>
      <c r="AZ57" s="6" t="s">
        <v>161</v>
      </c>
      <c r="BA57" s="7">
        <v>-99</v>
      </c>
    </row>
    <row r="58" spans="1:53" x14ac:dyDescent="0.25">
      <c r="A58" s="14" t="s">
        <v>513</v>
      </c>
      <c r="B58" s="2" t="s">
        <v>514</v>
      </c>
      <c r="C58" s="2" t="s">
        <v>222</v>
      </c>
      <c r="D58" s="2" t="s">
        <v>515</v>
      </c>
      <c r="E58" s="2" t="s">
        <v>516</v>
      </c>
      <c r="F58" s="2" t="s">
        <v>244</v>
      </c>
      <c r="G58" s="2" t="s">
        <v>345</v>
      </c>
      <c r="H58" s="2" t="s">
        <v>517</v>
      </c>
      <c r="I58" s="2" t="s">
        <v>518</v>
      </c>
      <c r="J58" s="3">
        <v>1</v>
      </c>
      <c r="K58" s="3">
        <v>-99</v>
      </c>
      <c r="L58" s="3" t="s">
        <v>1010</v>
      </c>
      <c r="M58" s="3">
        <f>11+15</f>
        <v>26</v>
      </c>
      <c r="N58" s="3">
        <v>0</v>
      </c>
      <c r="O58" s="4" t="s">
        <v>155</v>
      </c>
      <c r="P58" s="4">
        <v>-77</v>
      </c>
      <c r="Q58" s="4">
        <v>0</v>
      </c>
      <c r="R58" s="4" t="s">
        <v>156</v>
      </c>
      <c r="S58" s="4">
        <v>-77</v>
      </c>
      <c r="T58" s="4">
        <v>-77</v>
      </c>
      <c r="U58" s="4">
        <v>-77</v>
      </c>
      <c r="V58" s="4">
        <v>-77</v>
      </c>
      <c r="W58" s="4">
        <v>-77</v>
      </c>
      <c r="X58" s="4">
        <v>100</v>
      </c>
      <c r="Y58" s="4">
        <v>0</v>
      </c>
      <c r="Z58" s="4">
        <v>-77</v>
      </c>
      <c r="AA58" s="4" t="s">
        <v>1105</v>
      </c>
      <c r="AB58" s="4">
        <v>0</v>
      </c>
      <c r="AC58" s="5">
        <v>4</v>
      </c>
      <c r="AD58" s="5">
        <v>2</v>
      </c>
      <c r="AE58" s="5">
        <v>2</v>
      </c>
      <c r="AF58" s="5">
        <v>60</v>
      </c>
      <c r="AG58" s="5" t="s">
        <v>166</v>
      </c>
      <c r="AH58" s="5" t="s">
        <v>179</v>
      </c>
      <c r="AI58" s="5" t="s">
        <v>178</v>
      </c>
      <c r="AJ58" s="5" t="s">
        <v>178</v>
      </c>
      <c r="AK58" s="5" t="s">
        <v>178</v>
      </c>
      <c r="AL58" s="5" t="s">
        <v>178</v>
      </c>
      <c r="AM58" s="5">
        <v>10</v>
      </c>
      <c r="AN58" s="5">
        <v>10</v>
      </c>
      <c r="AO58" s="5">
        <v>10</v>
      </c>
      <c r="AP58" s="5">
        <v>10</v>
      </c>
      <c r="AQ58" s="16">
        <v>0.5</v>
      </c>
      <c r="AR58" s="16">
        <v>0.1</v>
      </c>
      <c r="AS58" s="16">
        <v>0.5</v>
      </c>
      <c r="AT58" s="16">
        <v>0.1</v>
      </c>
      <c r="AU58" s="5">
        <v>-99</v>
      </c>
      <c r="AV58" s="5">
        <v>0</v>
      </c>
      <c r="AW58" s="6">
        <v>5</v>
      </c>
      <c r="AX58" s="6">
        <v>20</v>
      </c>
      <c r="AY58" s="6">
        <v>2</v>
      </c>
      <c r="AZ58" s="6" t="s">
        <v>896</v>
      </c>
      <c r="BA58" s="7">
        <v>-99</v>
      </c>
    </row>
    <row r="59" spans="1:53" x14ac:dyDescent="0.25">
      <c r="A59" s="14" t="s">
        <v>519</v>
      </c>
      <c r="B59" s="2" t="s">
        <v>520</v>
      </c>
      <c r="C59" s="2" t="s">
        <v>142</v>
      </c>
      <c r="D59" s="2" t="s">
        <v>521</v>
      </c>
      <c r="E59" s="2" t="s">
        <v>522</v>
      </c>
      <c r="F59" s="2" t="s">
        <v>217</v>
      </c>
      <c r="G59" s="2" t="s">
        <v>345</v>
      </c>
      <c r="H59" s="2" t="s">
        <v>523</v>
      </c>
      <c r="I59" s="2" t="s">
        <v>524</v>
      </c>
      <c r="J59" s="3">
        <v>1</v>
      </c>
      <c r="K59" s="3">
        <v>-99</v>
      </c>
      <c r="L59" s="3" t="s">
        <v>1011</v>
      </c>
      <c r="M59" s="3">
        <v>50</v>
      </c>
      <c r="N59" s="3">
        <v>0</v>
      </c>
      <c r="O59" s="4" t="s">
        <v>888</v>
      </c>
      <c r="P59" s="4" t="s">
        <v>1135</v>
      </c>
      <c r="Q59" s="4">
        <v>0</v>
      </c>
      <c r="R59" s="4" t="s">
        <v>156</v>
      </c>
      <c r="S59" s="4" t="s">
        <v>593</v>
      </c>
      <c r="T59" s="4">
        <v>-77</v>
      </c>
      <c r="U59" s="4" t="s">
        <v>598</v>
      </c>
      <c r="V59" s="4" t="s">
        <v>597</v>
      </c>
      <c r="W59" s="4">
        <v>-77</v>
      </c>
      <c r="X59" s="4">
        <v>100</v>
      </c>
      <c r="Y59" s="4">
        <v>0</v>
      </c>
      <c r="Z59" s="4">
        <v>-77</v>
      </c>
      <c r="AA59" s="4" t="s">
        <v>1049</v>
      </c>
      <c r="AB59" s="4">
        <v>0</v>
      </c>
      <c r="AC59" s="5">
        <v>4</v>
      </c>
      <c r="AD59" s="5">
        <v>2</v>
      </c>
      <c r="AE59" s="5">
        <v>2</v>
      </c>
      <c r="AF59" s="5">
        <v>80</v>
      </c>
      <c r="AG59" s="5" t="s">
        <v>166</v>
      </c>
      <c r="AH59" s="5" t="s">
        <v>179</v>
      </c>
      <c r="AI59" s="5" t="s">
        <v>178</v>
      </c>
      <c r="AJ59" s="5" t="s">
        <v>178</v>
      </c>
      <c r="AK59" s="5" t="s">
        <v>178</v>
      </c>
      <c r="AL59" s="5" t="s">
        <v>178</v>
      </c>
      <c r="AM59" s="5">
        <v>10</v>
      </c>
      <c r="AN59" s="5">
        <v>10</v>
      </c>
      <c r="AO59" s="5">
        <v>10</v>
      </c>
      <c r="AP59" s="5">
        <v>10</v>
      </c>
      <c r="AQ59" s="16">
        <v>0.5</v>
      </c>
      <c r="AR59" s="16">
        <v>0.1</v>
      </c>
      <c r="AS59" s="16">
        <v>0.5</v>
      </c>
      <c r="AT59" s="16">
        <v>0.1</v>
      </c>
      <c r="AU59" s="5" t="s">
        <v>1049</v>
      </c>
      <c r="AV59" s="5">
        <v>0</v>
      </c>
      <c r="AW59" s="6">
        <v>-99</v>
      </c>
      <c r="AX59" s="6">
        <v>-99</v>
      </c>
      <c r="AY59" s="6">
        <v>2</v>
      </c>
      <c r="AZ59" s="6" t="s">
        <v>922</v>
      </c>
      <c r="BA59" s="7">
        <v>-99</v>
      </c>
    </row>
    <row r="60" spans="1:53" x14ac:dyDescent="0.25">
      <c r="A60" s="14" t="s">
        <v>526</v>
      </c>
      <c r="B60" s="2" t="s">
        <v>527</v>
      </c>
      <c r="C60" s="2" t="s">
        <v>86</v>
      </c>
      <c r="D60" s="2" t="s">
        <v>528</v>
      </c>
      <c r="E60" s="2" t="s">
        <v>336</v>
      </c>
      <c r="F60" s="2" t="s">
        <v>459</v>
      </c>
      <c r="G60" s="2" t="s">
        <v>58</v>
      </c>
      <c r="H60" s="2" t="s">
        <v>529</v>
      </c>
      <c r="I60" s="2"/>
      <c r="J60" s="3">
        <v>1</v>
      </c>
      <c r="K60" s="3">
        <v>-99</v>
      </c>
      <c r="L60" s="3" t="s">
        <v>1012</v>
      </c>
      <c r="M60" s="3">
        <v>51</v>
      </c>
      <c r="N60" s="3">
        <v>0</v>
      </c>
      <c r="O60" s="4" t="s">
        <v>155</v>
      </c>
      <c r="P60" s="4" t="s">
        <v>960</v>
      </c>
      <c r="Q60" s="4">
        <v>0</v>
      </c>
      <c r="R60" s="4" t="s">
        <v>156</v>
      </c>
      <c r="S60" s="4">
        <v>-77</v>
      </c>
      <c r="T60" s="4">
        <v>-77</v>
      </c>
      <c r="U60" s="4">
        <v>-77</v>
      </c>
      <c r="V60" s="4">
        <v>-77</v>
      </c>
      <c r="W60" s="4">
        <v>-77</v>
      </c>
      <c r="X60" s="4">
        <v>100</v>
      </c>
      <c r="Y60" s="4">
        <v>0</v>
      </c>
      <c r="Z60" s="4">
        <v>-77</v>
      </c>
      <c r="AA60" s="4" t="s">
        <v>1106</v>
      </c>
      <c r="AB60" s="4">
        <v>0</v>
      </c>
      <c r="AC60" s="5">
        <v>4</v>
      </c>
      <c r="AD60" s="5">
        <v>2</v>
      </c>
      <c r="AE60" s="5">
        <v>2</v>
      </c>
      <c r="AF60" s="5">
        <v>-77</v>
      </c>
      <c r="AG60" s="5">
        <v>-77</v>
      </c>
      <c r="AH60" s="5">
        <v>-77</v>
      </c>
      <c r="AI60" s="5" t="s">
        <v>600</v>
      </c>
      <c r="AJ60" s="5" t="s">
        <v>600</v>
      </c>
      <c r="AK60" s="5" t="s">
        <v>600</v>
      </c>
      <c r="AL60" s="5" t="s">
        <v>600</v>
      </c>
      <c r="AM60" s="5">
        <v>10</v>
      </c>
      <c r="AN60" s="5">
        <v>10</v>
      </c>
      <c r="AO60" s="5">
        <v>10</v>
      </c>
      <c r="AP60" s="5">
        <v>10</v>
      </c>
      <c r="AQ60" s="5">
        <v>-77</v>
      </c>
      <c r="AR60" s="5">
        <v>-77</v>
      </c>
      <c r="AS60" s="5">
        <v>-77</v>
      </c>
      <c r="AT60" s="5">
        <v>-77</v>
      </c>
      <c r="AU60" s="5">
        <v>-99</v>
      </c>
      <c r="AV60" s="5">
        <v>0</v>
      </c>
      <c r="AW60" s="6">
        <v>5</v>
      </c>
      <c r="AX60" s="6">
        <v>20</v>
      </c>
      <c r="AY60" s="6">
        <v>2</v>
      </c>
      <c r="AZ60" s="6" t="s">
        <v>896</v>
      </c>
      <c r="BA60" s="7">
        <v>-99</v>
      </c>
    </row>
    <row r="61" spans="1:53" x14ac:dyDescent="0.25">
      <c r="A61" s="14" t="s">
        <v>530</v>
      </c>
      <c r="B61" s="2" t="s">
        <v>531</v>
      </c>
      <c r="C61" s="2" t="s">
        <v>94</v>
      </c>
      <c r="D61" s="2" t="s">
        <v>532</v>
      </c>
      <c r="E61" s="2" t="s">
        <v>533</v>
      </c>
      <c r="F61" s="2" t="s">
        <v>315</v>
      </c>
      <c r="G61" s="2" t="s">
        <v>525</v>
      </c>
      <c r="H61" s="2" t="s">
        <v>534</v>
      </c>
      <c r="I61" s="2" t="s">
        <v>535</v>
      </c>
      <c r="J61" s="3">
        <v>1</v>
      </c>
      <c r="K61" s="3">
        <v>-99</v>
      </c>
      <c r="L61" s="3" t="s">
        <v>983</v>
      </c>
      <c r="M61" s="3">
        <v>20</v>
      </c>
      <c r="N61" s="3">
        <v>0</v>
      </c>
      <c r="O61" s="4">
        <v>-77</v>
      </c>
      <c r="P61" s="4">
        <v>-77</v>
      </c>
      <c r="Q61" s="4">
        <v>0</v>
      </c>
      <c r="R61" s="4" t="s">
        <v>156</v>
      </c>
      <c r="S61" s="4">
        <v>-77</v>
      </c>
      <c r="T61" s="4" t="s">
        <v>162</v>
      </c>
      <c r="U61" s="4" t="s">
        <v>594</v>
      </c>
      <c r="V61" s="4" t="s">
        <v>595</v>
      </c>
      <c r="W61" s="4">
        <v>1</v>
      </c>
      <c r="X61" s="4">
        <v>100</v>
      </c>
      <c r="Y61" s="4" t="s">
        <v>599</v>
      </c>
      <c r="Z61" s="4" t="s">
        <v>287</v>
      </c>
      <c r="AA61" s="4" t="s">
        <v>1107</v>
      </c>
      <c r="AB61" s="4">
        <v>1</v>
      </c>
      <c r="AC61" s="5">
        <v>4</v>
      </c>
      <c r="AD61" s="5">
        <v>2</v>
      </c>
      <c r="AE61" s="5">
        <v>2</v>
      </c>
      <c r="AF61" s="5">
        <v>-77</v>
      </c>
      <c r="AG61" s="5">
        <v>-77</v>
      </c>
      <c r="AH61" s="5">
        <v>-77</v>
      </c>
      <c r="AI61" s="5">
        <v>-77</v>
      </c>
      <c r="AJ61" s="5">
        <v>-77</v>
      </c>
      <c r="AK61" s="5">
        <v>-77</v>
      </c>
      <c r="AL61" s="5">
        <v>-77</v>
      </c>
      <c r="AM61" s="5">
        <v>-77</v>
      </c>
      <c r="AN61" s="5">
        <v>-77</v>
      </c>
      <c r="AO61" s="5">
        <v>-77</v>
      </c>
      <c r="AP61" s="5">
        <v>-77</v>
      </c>
      <c r="AQ61" s="5">
        <v>-77</v>
      </c>
      <c r="AR61" s="5">
        <v>-77</v>
      </c>
      <c r="AS61" s="5">
        <v>-77</v>
      </c>
      <c r="AT61" s="5">
        <v>-77</v>
      </c>
      <c r="AU61" s="5">
        <v>-99</v>
      </c>
      <c r="AV61" s="5">
        <v>0</v>
      </c>
      <c r="AW61" s="6">
        <v>-99</v>
      </c>
      <c r="AX61" s="6">
        <v>-99</v>
      </c>
      <c r="AY61" s="6">
        <v>2</v>
      </c>
      <c r="AZ61" s="6" t="s">
        <v>923</v>
      </c>
      <c r="BA61" s="7" t="s">
        <v>596</v>
      </c>
    </row>
    <row r="62" spans="1:53" x14ac:dyDescent="0.25">
      <c r="A62" s="14" t="s">
        <v>536</v>
      </c>
      <c r="B62" s="2" t="s">
        <v>182</v>
      </c>
      <c r="C62" s="2" t="s">
        <v>207</v>
      </c>
      <c r="D62" s="2" t="s">
        <v>537</v>
      </c>
      <c r="E62" s="2" t="s">
        <v>201</v>
      </c>
      <c r="F62" s="2" t="s">
        <v>538</v>
      </c>
      <c r="G62" s="2"/>
      <c r="H62" s="2" t="s">
        <v>539</v>
      </c>
      <c r="I62" s="2" t="s">
        <v>540</v>
      </c>
      <c r="J62" s="3">
        <v>1</v>
      </c>
      <c r="K62" s="3">
        <v>-99</v>
      </c>
      <c r="L62" s="3" t="s">
        <v>977</v>
      </c>
      <c r="M62" s="3">
        <v>27</v>
      </c>
      <c r="N62" s="3">
        <v>0</v>
      </c>
      <c r="O62" s="4" t="s">
        <v>155</v>
      </c>
      <c r="P62" s="4">
        <v>-77</v>
      </c>
      <c r="Q62" s="4">
        <v>0</v>
      </c>
      <c r="R62" s="4" t="s">
        <v>156</v>
      </c>
      <c r="S62" s="4" t="s">
        <v>601</v>
      </c>
      <c r="T62" s="4" t="s">
        <v>410</v>
      </c>
      <c r="U62" s="4">
        <v>-77</v>
      </c>
      <c r="V62" s="4">
        <v>-77</v>
      </c>
      <c r="W62" s="4">
        <v>-77</v>
      </c>
      <c r="X62" s="4">
        <v>100</v>
      </c>
      <c r="Y62" s="4">
        <v>0</v>
      </c>
      <c r="Z62" s="4">
        <v>-77</v>
      </c>
      <c r="AA62" s="4" t="s">
        <v>1108</v>
      </c>
      <c r="AB62" s="4">
        <v>0</v>
      </c>
      <c r="AC62" s="5">
        <v>4</v>
      </c>
      <c r="AD62" s="5">
        <v>2</v>
      </c>
      <c r="AE62" s="5">
        <v>2</v>
      </c>
      <c r="AF62" s="5">
        <v>-77</v>
      </c>
      <c r="AG62" s="5" t="s">
        <v>602</v>
      </c>
      <c r="AH62" s="5" t="s">
        <v>603</v>
      </c>
      <c r="AI62" s="5">
        <v>-77</v>
      </c>
      <c r="AJ62" s="5">
        <v>-77</v>
      </c>
      <c r="AK62" s="5">
        <v>-77</v>
      </c>
      <c r="AL62" s="5">
        <v>-77</v>
      </c>
      <c r="AM62" s="5">
        <v>-77</v>
      </c>
      <c r="AN62" s="5">
        <v>-77</v>
      </c>
      <c r="AO62" s="5">
        <v>-77</v>
      </c>
      <c r="AP62" s="5">
        <v>-77</v>
      </c>
      <c r="AQ62" s="5">
        <v>-77</v>
      </c>
      <c r="AR62" s="5">
        <v>-77</v>
      </c>
      <c r="AS62" s="5">
        <v>-77</v>
      </c>
      <c r="AT62" s="5">
        <v>-77</v>
      </c>
      <c r="AU62" s="5" t="s">
        <v>1109</v>
      </c>
      <c r="AV62" s="5">
        <v>0</v>
      </c>
      <c r="AW62" s="6">
        <v>5</v>
      </c>
      <c r="AX62" s="6">
        <v>20</v>
      </c>
      <c r="AY62" s="6">
        <v>2</v>
      </c>
      <c r="AZ62" s="6" t="s">
        <v>896</v>
      </c>
      <c r="BA62" s="7">
        <v>-99</v>
      </c>
    </row>
    <row r="63" spans="1:53" x14ac:dyDescent="0.25">
      <c r="A63" s="14" t="s">
        <v>541</v>
      </c>
      <c r="B63" s="2" t="s">
        <v>542</v>
      </c>
      <c r="C63" s="2" t="s">
        <v>70</v>
      </c>
      <c r="D63" s="2" t="s">
        <v>543</v>
      </c>
      <c r="E63" s="2" t="s">
        <v>544</v>
      </c>
      <c r="F63" s="2" t="s">
        <v>186</v>
      </c>
      <c r="G63" s="2" t="s">
        <v>83</v>
      </c>
      <c r="H63" s="2" t="s">
        <v>545</v>
      </c>
      <c r="I63" s="2" t="s">
        <v>546</v>
      </c>
      <c r="J63" s="3">
        <v>2</v>
      </c>
      <c r="K63" s="3" t="s">
        <v>604</v>
      </c>
      <c r="L63" s="3" t="s">
        <v>988</v>
      </c>
      <c r="M63" s="3">
        <v>265</v>
      </c>
      <c r="N63" s="3">
        <v>0</v>
      </c>
      <c r="O63" s="4" t="s">
        <v>955</v>
      </c>
      <c r="P63" s="4" t="s">
        <v>957</v>
      </c>
      <c r="Q63" s="4">
        <v>0</v>
      </c>
      <c r="R63" s="4" t="s">
        <v>156</v>
      </c>
      <c r="S63" s="4" t="s">
        <v>157</v>
      </c>
      <c r="T63" s="4" t="s">
        <v>605</v>
      </c>
      <c r="U63" s="4" t="s">
        <v>606</v>
      </c>
      <c r="V63" s="4">
        <v>-77</v>
      </c>
      <c r="W63" s="4">
        <v>0</v>
      </c>
      <c r="X63" s="4">
        <v>100</v>
      </c>
      <c r="Y63" s="4">
        <v>0</v>
      </c>
      <c r="Z63" s="4">
        <v>-77</v>
      </c>
      <c r="AA63" s="4" t="s">
        <v>1110</v>
      </c>
      <c r="AB63" s="4">
        <v>0</v>
      </c>
      <c r="AC63" s="5">
        <v>4</v>
      </c>
      <c r="AD63" s="5">
        <v>2</v>
      </c>
      <c r="AE63" s="5">
        <v>2</v>
      </c>
      <c r="AF63" s="5">
        <v>-77</v>
      </c>
      <c r="AG63" s="19" t="s">
        <v>607</v>
      </c>
      <c r="AH63" s="19" t="s">
        <v>608</v>
      </c>
      <c r="AI63" s="5" t="s">
        <v>178</v>
      </c>
      <c r="AJ63" s="5" t="s">
        <v>178</v>
      </c>
      <c r="AK63" s="5" t="s">
        <v>178</v>
      </c>
      <c r="AL63" s="5" t="s">
        <v>178</v>
      </c>
      <c r="AM63" s="5">
        <v>10</v>
      </c>
      <c r="AN63" s="5">
        <v>10</v>
      </c>
      <c r="AO63" s="5">
        <v>10</v>
      </c>
      <c r="AP63" s="5">
        <v>10</v>
      </c>
      <c r="AQ63" s="16">
        <v>0.5</v>
      </c>
      <c r="AR63" s="16">
        <v>0.1</v>
      </c>
      <c r="AS63" s="16">
        <v>0.5</v>
      </c>
      <c r="AT63" s="16">
        <v>0.1</v>
      </c>
      <c r="AU63" s="5" t="s">
        <v>609</v>
      </c>
      <c r="AV63" s="5">
        <v>1</v>
      </c>
      <c r="AW63" s="6">
        <v>-99</v>
      </c>
      <c r="AX63" s="6">
        <v>-99</v>
      </c>
      <c r="AY63" s="6">
        <v>1</v>
      </c>
      <c r="AZ63" s="6" t="s">
        <v>160</v>
      </c>
      <c r="BA63" s="7" t="s">
        <v>611</v>
      </c>
    </row>
    <row r="64" spans="1:53" x14ac:dyDescent="0.25">
      <c r="A64" s="14" t="s">
        <v>547</v>
      </c>
      <c r="B64" s="2" t="s">
        <v>548</v>
      </c>
      <c r="C64" s="2" t="s">
        <v>255</v>
      </c>
      <c r="D64" s="2" t="s">
        <v>549</v>
      </c>
      <c r="E64" s="2" t="s">
        <v>550</v>
      </c>
      <c r="F64" s="2" t="s">
        <v>551</v>
      </c>
      <c r="G64" s="2" t="s">
        <v>58</v>
      </c>
      <c r="H64" s="2" t="s">
        <v>552</v>
      </c>
      <c r="I64" s="2" t="s">
        <v>553</v>
      </c>
      <c r="J64" s="3">
        <v>3</v>
      </c>
      <c r="K64" s="3">
        <v>3</v>
      </c>
      <c r="L64" s="3" t="s">
        <v>1013</v>
      </c>
      <c r="M64" s="3">
        <v>200</v>
      </c>
      <c r="N64" s="3">
        <v>0</v>
      </c>
      <c r="O64" s="4" t="s">
        <v>886</v>
      </c>
      <c r="P64" s="4">
        <v>-77</v>
      </c>
      <c r="Q64" s="4">
        <v>0</v>
      </c>
      <c r="R64" s="4" t="s">
        <v>156</v>
      </c>
      <c r="S64" s="4">
        <v>-77</v>
      </c>
      <c r="T64" s="4">
        <v>-77</v>
      </c>
      <c r="U64" s="4">
        <v>-77</v>
      </c>
      <c r="V64" s="4">
        <v>-77</v>
      </c>
      <c r="W64" s="4">
        <v>-77</v>
      </c>
      <c r="X64" s="4">
        <v>200</v>
      </c>
      <c r="Y64" s="4">
        <v>0</v>
      </c>
      <c r="Z64" s="4">
        <v>-77</v>
      </c>
      <c r="AA64" s="4" t="s">
        <v>613</v>
      </c>
      <c r="AB64" s="4">
        <v>1</v>
      </c>
      <c r="AC64" s="5">
        <v>4</v>
      </c>
      <c r="AD64" s="5">
        <v>2</v>
      </c>
      <c r="AE64" s="5">
        <v>2</v>
      </c>
      <c r="AF64" s="5">
        <v>40</v>
      </c>
      <c r="AG64" s="5" t="s">
        <v>612</v>
      </c>
      <c r="AH64" s="5" t="s">
        <v>179</v>
      </c>
      <c r="AI64" s="5" t="s">
        <v>178</v>
      </c>
      <c r="AJ64" s="5" t="s">
        <v>178</v>
      </c>
      <c r="AK64" s="5" t="s">
        <v>178</v>
      </c>
      <c r="AL64" s="5" t="s">
        <v>178</v>
      </c>
      <c r="AM64" s="5">
        <v>10</v>
      </c>
      <c r="AN64" s="5">
        <v>10</v>
      </c>
      <c r="AO64" s="5">
        <v>10</v>
      </c>
      <c r="AP64" s="5">
        <v>10</v>
      </c>
      <c r="AQ64" s="5">
        <v>-77</v>
      </c>
      <c r="AR64" s="5">
        <v>-77</v>
      </c>
      <c r="AS64" s="5">
        <v>-77</v>
      </c>
      <c r="AT64" s="5">
        <v>-77</v>
      </c>
      <c r="AU64" s="5" t="s">
        <v>613</v>
      </c>
      <c r="AV64" s="5">
        <v>0</v>
      </c>
      <c r="AW64" s="6">
        <v>4</v>
      </c>
      <c r="AX64" s="6">
        <v>50</v>
      </c>
      <c r="AY64" s="6">
        <v>4</v>
      </c>
      <c r="AZ64" s="6" t="s">
        <v>924</v>
      </c>
      <c r="BA64" s="7">
        <v>-99</v>
      </c>
    </row>
    <row r="65" spans="1:53" x14ac:dyDescent="0.25">
      <c r="A65" s="14" t="s">
        <v>554</v>
      </c>
      <c r="B65" s="2" t="s">
        <v>555</v>
      </c>
      <c r="C65" s="2" t="s">
        <v>207</v>
      </c>
      <c r="D65" s="2" t="s">
        <v>556</v>
      </c>
      <c r="E65" s="2" t="s">
        <v>557</v>
      </c>
      <c r="F65" s="2" t="s">
        <v>558</v>
      </c>
      <c r="G65" s="2"/>
      <c r="H65" s="2" t="s">
        <v>559</v>
      </c>
      <c r="I65" s="2" t="s">
        <v>560</v>
      </c>
      <c r="J65" s="3">
        <v>1</v>
      </c>
      <c r="K65" s="3">
        <v>-99</v>
      </c>
      <c r="L65" s="3" t="s">
        <v>1014</v>
      </c>
      <c r="M65" s="3">
        <v>108</v>
      </c>
      <c r="N65" s="3">
        <v>0</v>
      </c>
      <c r="O65" s="4" t="s">
        <v>155</v>
      </c>
      <c r="P65" s="4">
        <v>-77</v>
      </c>
      <c r="Q65" s="4">
        <v>0</v>
      </c>
      <c r="R65" s="4" t="s">
        <v>156</v>
      </c>
      <c r="S65" s="4" t="s">
        <v>157</v>
      </c>
      <c r="T65" s="4" t="s">
        <v>162</v>
      </c>
      <c r="U65" s="4">
        <v>-77</v>
      </c>
      <c r="V65" s="4">
        <v>-77</v>
      </c>
      <c r="W65" s="4">
        <v>-77</v>
      </c>
      <c r="X65" s="4">
        <v>100</v>
      </c>
      <c r="Y65" s="4">
        <v>0</v>
      </c>
      <c r="Z65" s="4">
        <v>-77</v>
      </c>
      <c r="AA65" s="4" t="s">
        <v>1111</v>
      </c>
      <c r="AB65" s="4">
        <v>-77</v>
      </c>
      <c r="AC65" s="5">
        <v>4</v>
      </c>
      <c r="AD65" s="5">
        <v>2</v>
      </c>
      <c r="AE65" s="5">
        <v>2</v>
      </c>
      <c r="AF65" s="5">
        <v>-77</v>
      </c>
      <c r="AG65" s="5">
        <v>-77</v>
      </c>
      <c r="AH65" s="5">
        <v>-77</v>
      </c>
      <c r="AI65" s="5">
        <v>-77</v>
      </c>
      <c r="AJ65" s="5">
        <v>-77</v>
      </c>
      <c r="AK65" s="5">
        <v>-77</v>
      </c>
      <c r="AL65" s="5">
        <v>-77</v>
      </c>
      <c r="AM65" s="5">
        <v>-77</v>
      </c>
      <c r="AN65" s="5">
        <v>-77</v>
      </c>
      <c r="AO65" s="5">
        <v>-77</v>
      </c>
      <c r="AP65" s="5">
        <v>-77</v>
      </c>
      <c r="AQ65" s="5">
        <v>-77</v>
      </c>
      <c r="AR65" s="5">
        <v>-77</v>
      </c>
      <c r="AS65" s="5">
        <v>-77</v>
      </c>
      <c r="AT65" s="5">
        <v>-77</v>
      </c>
      <c r="AU65" s="5">
        <v>-99</v>
      </c>
      <c r="AV65" s="5">
        <v>-77</v>
      </c>
      <c r="AW65" s="6">
        <v>5</v>
      </c>
      <c r="AX65" s="6">
        <v>20</v>
      </c>
      <c r="AY65" s="6">
        <v>2</v>
      </c>
      <c r="AZ65" s="6" t="s">
        <v>896</v>
      </c>
      <c r="BA65" s="7">
        <v>-99</v>
      </c>
    </row>
    <row r="66" spans="1:53" x14ac:dyDescent="0.25">
      <c r="A66" s="14" t="s">
        <v>561</v>
      </c>
      <c r="B66" s="2" t="s">
        <v>562</v>
      </c>
      <c r="C66" s="2" t="s">
        <v>215</v>
      </c>
      <c r="D66" s="2" t="s">
        <v>563</v>
      </c>
      <c r="E66" s="2" t="s">
        <v>201</v>
      </c>
      <c r="F66" s="2" t="s">
        <v>564</v>
      </c>
      <c r="G66" s="2" t="s">
        <v>83</v>
      </c>
      <c r="H66" s="2" t="s">
        <v>565</v>
      </c>
      <c r="I66" s="2" t="s">
        <v>566</v>
      </c>
      <c r="J66" s="3">
        <v>1</v>
      </c>
      <c r="K66" s="3">
        <v>-99</v>
      </c>
      <c r="L66" s="3" t="s">
        <v>974</v>
      </c>
      <c r="M66" s="3">
        <v>35</v>
      </c>
      <c r="N66" s="3">
        <v>0</v>
      </c>
      <c r="O66" s="4" t="s">
        <v>880</v>
      </c>
      <c r="P66" s="4">
        <v>-77</v>
      </c>
      <c r="Q66" s="4">
        <v>0</v>
      </c>
      <c r="R66" s="4" t="s">
        <v>156</v>
      </c>
      <c r="S66" s="4" t="s">
        <v>170</v>
      </c>
      <c r="T66" s="4" t="s">
        <v>605</v>
      </c>
      <c r="U66" s="4" t="s">
        <v>606</v>
      </c>
      <c r="V66" s="4" t="s">
        <v>614</v>
      </c>
      <c r="W66" s="4">
        <v>0</v>
      </c>
      <c r="X66" s="4">
        <v>100</v>
      </c>
      <c r="Y66" s="4">
        <v>0</v>
      </c>
      <c r="Z66" s="4" t="s">
        <v>287</v>
      </c>
      <c r="AA66" s="4" t="s">
        <v>1112</v>
      </c>
      <c r="AB66" s="4">
        <v>0</v>
      </c>
      <c r="AC66" s="5">
        <v>4</v>
      </c>
      <c r="AD66" s="5">
        <v>2</v>
      </c>
      <c r="AE66" s="5">
        <v>2</v>
      </c>
      <c r="AF66" s="5">
        <v>-77</v>
      </c>
      <c r="AG66" s="19" t="s">
        <v>615</v>
      </c>
      <c r="AH66" s="19" t="s">
        <v>616</v>
      </c>
      <c r="AI66" s="5" t="s">
        <v>417</v>
      </c>
      <c r="AJ66" s="5" t="s">
        <v>417</v>
      </c>
      <c r="AK66" s="5" t="s">
        <v>417</v>
      </c>
      <c r="AL66" s="5" t="s">
        <v>417</v>
      </c>
      <c r="AM66" s="5">
        <v>10</v>
      </c>
      <c r="AN66" s="5">
        <v>10</v>
      </c>
      <c r="AO66" s="5">
        <v>10</v>
      </c>
      <c r="AP66" s="5">
        <v>10</v>
      </c>
      <c r="AQ66" s="16">
        <v>0.5</v>
      </c>
      <c r="AR66" s="16">
        <v>0.1</v>
      </c>
      <c r="AS66" s="16">
        <v>0.5</v>
      </c>
      <c r="AT66" s="16">
        <v>0.1</v>
      </c>
      <c r="AU66" s="5" t="s">
        <v>617</v>
      </c>
      <c r="AV66" s="5">
        <v>1</v>
      </c>
      <c r="AW66" s="6">
        <v>5</v>
      </c>
      <c r="AX66" s="6">
        <v>20</v>
      </c>
      <c r="AY66" s="6">
        <v>2</v>
      </c>
      <c r="AZ66" s="6" t="s">
        <v>896</v>
      </c>
      <c r="BA66" s="7">
        <v>-99</v>
      </c>
    </row>
    <row r="67" spans="1:53" x14ac:dyDescent="0.25">
      <c r="A67" s="14" t="s">
        <v>567</v>
      </c>
      <c r="B67" s="2" t="s">
        <v>568</v>
      </c>
      <c r="C67" s="2" t="s">
        <v>183</v>
      </c>
      <c r="D67" s="2" t="s">
        <v>569</v>
      </c>
      <c r="E67" s="2" t="s">
        <v>56</v>
      </c>
      <c r="F67" s="2" t="s">
        <v>244</v>
      </c>
      <c r="G67" s="2" t="s">
        <v>50</v>
      </c>
      <c r="H67" s="2" t="s">
        <v>570</v>
      </c>
      <c r="I67" s="2" t="s">
        <v>571</v>
      </c>
      <c r="J67" s="3">
        <v>1</v>
      </c>
      <c r="K67" s="3">
        <v>-99</v>
      </c>
      <c r="L67" s="3" t="s">
        <v>1015</v>
      </c>
      <c r="M67" s="3">
        <f>45+51</f>
        <v>96</v>
      </c>
      <c r="N67" s="3">
        <v>0</v>
      </c>
      <c r="O67" s="4" t="s">
        <v>155</v>
      </c>
      <c r="P67" s="22" t="s">
        <v>961</v>
      </c>
      <c r="Q67" s="4">
        <v>0</v>
      </c>
      <c r="R67" s="4" t="s">
        <v>156</v>
      </c>
      <c r="S67" s="4" t="s">
        <v>593</v>
      </c>
      <c r="T67" s="4">
        <v>-77</v>
      </c>
      <c r="U67" s="4" t="s">
        <v>618</v>
      </c>
      <c r="V67" s="4">
        <v>-77</v>
      </c>
      <c r="W67" s="4">
        <v>-99</v>
      </c>
      <c r="X67" s="4">
        <v>100</v>
      </c>
      <c r="Y67" s="4">
        <v>0</v>
      </c>
      <c r="Z67" s="4">
        <v>-77</v>
      </c>
      <c r="AA67" s="22" t="s">
        <v>1113</v>
      </c>
      <c r="AB67" s="4">
        <v>-77</v>
      </c>
      <c r="AC67" s="5">
        <v>4</v>
      </c>
      <c r="AD67" s="5">
        <v>2</v>
      </c>
      <c r="AE67" s="5">
        <v>2</v>
      </c>
      <c r="AF67" s="5">
        <v>-77</v>
      </c>
      <c r="AG67" s="5">
        <v>-77</v>
      </c>
      <c r="AH67" s="5">
        <v>-77</v>
      </c>
      <c r="AI67" s="5">
        <v>-77</v>
      </c>
      <c r="AJ67" s="5">
        <v>-77</v>
      </c>
      <c r="AK67" s="5">
        <v>-77</v>
      </c>
      <c r="AL67" s="5">
        <v>-77</v>
      </c>
      <c r="AM67" s="5">
        <v>-77</v>
      </c>
      <c r="AN67" s="5">
        <v>-77</v>
      </c>
      <c r="AO67" s="5">
        <v>-77</v>
      </c>
      <c r="AP67" s="5">
        <v>-77</v>
      </c>
      <c r="AQ67" s="5">
        <v>-77</v>
      </c>
      <c r="AR67" s="5">
        <v>-77</v>
      </c>
      <c r="AS67" s="5">
        <v>-77</v>
      </c>
      <c r="AT67" s="5">
        <v>-77</v>
      </c>
      <c r="AU67" s="21">
        <v>-99</v>
      </c>
      <c r="AV67" s="21">
        <v>-77</v>
      </c>
      <c r="AW67" s="6">
        <v>-99</v>
      </c>
      <c r="AX67" s="6">
        <v>-99</v>
      </c>
      <c r="AY67" s="6">
        <v>1</v>
      </c>
      <c r="AZ67" s="6" t="s">
        <v>160</v>
      </c>
      <c r="BA67" s="7">
        <v>-99</v>
      </c>
    </row>
    <row r="68" spans="1:53" x14ac:dyDescent="0.25">
      <c r="A68" s="14" t="s">
        <v>619</v>
      </c>
      <c r="B68" s="2" t="s">
        <v>620</v>
      </c>
      <c r="C68" s="2" t="s">
        <v>142</v>
      </c>
      <c r="D68" s="2" t="s">
        <v>621</v>
      </c>
      <c r="E68" s="2" t="s">
        <v>533</v>
      </c>
      <c r="F68" s="2" t="s">
        <v>622</v>
      </c>
      <c r="G68" s="2" t="s">
        <v>189</v>
      </c>
      <c r="H68" s="2" t="s">
        <v>623</v>
      </c>
      <c r="I68" s="2" t="s">
        <v>624</v>
      </c>
      <c r="J68" s="3">
        <v>1</v>
      </c>
      <c r="K68" s="3">
        <v>-99</v>
      </c>
      <c r="L68" s="3" t="s">
        <v>1016</v>
      </c>
      <c r="M68" s="3">
        <v>17</v>
      </c>
      <c r="N68" s="3">
        <v>0</v>
      </c>
      <c r="O68" s="4" t="s">
        <v>880</v>
      </c>
      <c r="P68" s="4">
        <v>-77</v>
      </c>
      <c r="Q68" s="4">
        <v>0</v>
      </c>
      <c r="R68" s="4" t="s">
        <v>156</v>
      </c>
      <c r="S68" s="4" t="s">
        <v>170</v>
      </c>
      <c r="T68" s="4" t="s">
        <v>162</v>
      </c>
      <c r="U68" s="4" t="s">
        <v>726</v>
      </c>
      <c r="V68" s="4" t="s">
        <v>728</v>
      </c>
      <c r="W68" s="4">
        <v>0</v>
      </c>
      <c r="X68" s="4">
        <v>100</v>
      </c>
      <c r="Y68" s="4">
        <v>0</v>
      </c>
      <c r="Z68" s="4" t="s">
        <v>729</v>
      </c>
      <c r="AA68" s="4" t="s">
        <v>1114</v>
      </c>
      <c r="AB68" s="4">
        <v>1</v>
      </c>
      <c r="AC68" s="5">
        <v>4</v>
      </c>
      <c r="AD68" s="5">
        <v>2</v>
      </c>
      <c r="AE68" s="5">
        <v>2</v>
      </c>
      <c r="AF68" s="5">
        <v>-77</v>
      </c>
      <c r="AG68" s="5">
        <v>-55</v>
      </c>
      <c r="AH68" s="5">
        <v>-55</v>
      </c>
      <c r="AI68" s="5" t="s">
        <v>417</v>
      </c>
      <c r="AJ68" s="5" t="s">
        <v>417</v>
      </c>
      <c r="AK68" s="5" t="s">
        <v>417</v>
      </c>
      <c r="AL68" s="5" t="s">
        <v>417</v>
      </c>
      <c r="AM68" s="5">
        <v>10</v>
      </c>
      <c r="AN68" s="5">
        <v>10</v>
      </c>
      <c r="AO68" s="5">
        <v>10</v>
      </c>
      <c r="AP68" s="5">
        <v>10</v>
      </c>
      <c r="AQ68" s="16">
        <v>0.5</v>
      </c>
      <c r="AR68" s="16">
        <v>0.5</v>
      </c>
      <c r="AS68" s="16">
        <v>0.5</v>
      </c>
      <c r="AT68" s="16">
        <v>0.5</v>
      </c>
      <c r="AU68" s="5" t="s">
        <v>727</v>
      </c>
      <c r="AV68" s="5">
        <v>1</v>
      </c>
      <c r="AW68" s="6">
        <v>5</v>
      </c>
      <c r="AX68" s="6">
        <v>20</v>
      </c>
      <c r="AY68" s="6">
        <v>4</v>
      </c>
      <c r="AZ68" s="6" t="s">
        <v>896</v>
      </c>
      <c r="BA68" s="7">
        <v>-99</v>
      </c>
    </row>
    <row r="69" spans="1:53" x14ac:dyDescent="0.25">
      <c r="A69" s="14" t="s">
        <v>625</v>
      </c>
      <c r="B69" s="2" t="s">
        <v>626</v>
      </c>
      <c r="C69" s="2" t="s">
        <v>183</v>
      </c>
      <c r="D69" s="2" t="s">
        <v>627</v>
      </c>
      <c r="E69" s="2" t="s">
        <v>628</v>
      </c>
      <c r="F69" s="2" t="s">
        <v>629</v>
      </c>
      <c r="G69" s="2" t="s">
        <v>80</v>
      </c>
      <c r="H69" s="2" t="s">
        <v>630</v>
      </c>
      <c r="I69" s="2" t="s">
        <v>631</v>
      </c>
      <c r="J69" s="3">
        <v>1</v>
      </c>
      <c r="K69" s="3">
        <v>-99</v>
      </c>
      <c r="L69" s="3" t="s">
        <v>1017</v>
      </c>
      <c r="M69" s="3">
        <v>20</v>
      </c>
      <c r="N69" s="3">
        <v>0</v>
      </c>
      <c r="O69" s="4" t="s">
        <v>730</v>
      </c>
      <c r="P69" s="4">
        <v>-77</v>
      </c>
      <c r="Q69" s="4">
        <v>0</v>
      </c>
      <c r="R69" s="4" t="s">
        <v>156</v>
      </c>
      <c r="S69" s="4" t="s">
        <v>731</v>
      </c>
      <c r="T69" s="4">
        <v>-77</v>
      </c>
      <c r="U69" s="4">
        <v>-77</v>
      </c>
      <c r="V69" s="4">
        <v>-77</v>
      </c>
      <c r="W69" s="4">
        <v>-77</v>
      </c>
      <c r="X69" s="4">
        <v>100</v>
      </c>
      <c r="Y69" s="4">
        <v>0</v>
      </c>
      <c r="Z69" s="4">
        <v>-77</v>
      </c>
      <c r="AA69" s="4" t="s">
        <v>1115</v>
      </c>
      <c r="AB69" s="4">
        <v>-77</v>
      </c>
      <c r="AC69" s="5">
        <v>4</v>
      </c>
      <c r="AD69" s="5">
        <v>2</v>
      </c>
      <c r="AE69" s="5">
        <v>2</v>
      </c>
      <c r="AF69" s="5">
        <v>-77</v>
      </c>
      <c r="AG69" s="5" t="s">
        <v>732</v>
      </c>
      <c r="AH69" s="5" t="s">
        <v>733</v>
      </c>
      <c r="AI69" s="5" t="s">
        <v>734</v>
      </c>
      <c r="AJ69" s="5" t="s">
        <v>734</v>
      </c>
      <c r="AK69" s="5" t="s">
        <v>734</v>
      </c>
      <c r="AL69" s="5" t="s">
        <v>734</v>
      </c>
      <c r="AM69" s="5">
        <v>-77</v>
      </c>
      <c r="AN69" s="5">
        <v>-77</v>
      </c>
      <c r="AO69" s="5">
        <v>-77</v>
      </c>
      <c r="AP69" s="5">
        <v>-77</v>
      </c>
      <c r="AQ69" s="5">
        <v>-77</v>
      </c>
      <c r="AR69" s="5">
        <v>-77</v>
      </c>
      <c r="AS69" s="5">
        <v>-77</v>
      </c>
      <c r="AT69" s="5">
        <v>-77</v>
      </c>
      <c r="AU69" s="5">
        <v>-99</v>
      </c>
      <c r="AV69" s="5">
        <v>-77</v>
      </c>
      <c r="AW69" s="6">
        <v>-99</v>
      </c>
      <c r="AX69" s="6">
        <v>-99</v>
      </c>
      <c r="AY69" s="6">
        <v>1</v>
      </c>
      <c r="AZ69" s="6" t="s">
        <v>160</v>
      </c>
      <c r="BA69" s="7">
        <v>-99</v>
      </c>
    </row>
    <row r="70" spans="1:53" x14ac:dyDescent="0.25">
      <c r="A70" s="14" t="s">
        <v>632</v>
      </c>
      <c r="B70" s="2" t="s">
        <v>633</v>
      </c>
      <c r="C70" s="2" t="s">
        <v>150</v>
      </c>
      <c r="D70" s="2" t="s">
        <v>634</v>
      </c>
      <c r="E70" s="2" t="s">
        <v>635</v>
      </c>
      <c r="F70" s="2" t="s">
        <v>636</v>
      </c>
      <c r="G70" s="2" t="s">
        <v>83</v>
      </c>
      <c r="H70" s="2" t="s">
        <v>637</v>
      </c>
      <c r="I70" s="2" t="s">
        <v>638</v>
      </c>
      <c r="J70" s="3">
        <v>1</v>
      </c>
      <c r="K70" s="3">
        <v>-99</v>
      </c>
      <c r="L70" s="3" t="s">
        <v>1018</v>
      </c>
      <c r="M70" s="3">
        <v>40</v>
      </c>
      <c r="N70" s="3">
        <v>0</v>
      </c>
      <c r="O70" s="4" t="s">
        <v>890</v>
      </c>
      <c r="P70" s="4">
        <v>-77</v>
      </c>
      <c r="Q70" s="4">
        <v>0</v>
      </c>
      <c r="R70" s="4" t="s">
        <v>156</v>
      </c>
      <c r="S70" s="4">
        <v>-77</v>
      </c>
      <c r="T70" s="4" t="s">
        <v>162</v>
      </c>
      <c r="U70" s="4">
        <v>-77</v>
      </c>
      <c r="V70" s="4" t="s">
        <v>162</v>
      </c>
      <c r="W70" s="4">
        <v>-77</v>
      </c>
      <c r="X70" s="4">
        <v>-77</v>
      </c>
      <c r="Y70" s="4">
        <v>-77</v>
      </c>
      <c r="Z70" s="4">
        <v>-77</v>
      </c>
      <c r="AA70" s="4" t="s">
        <v>1116</v>
      </c>
      <c r="AB70" s="4">
        <v>1</v>
      </c>
      <c r="AC70" s="5">
        <v>4</v>
      </c>
      <c r="AD70" s="5">
        <v>2</v>
      </c>
      <c r="AE70" s="5">
        <v>2</v>
      </c>
      <c r="AF70" s="5">
        <v>-77</v>
      </c>
      <c r="AG70" s="5" t="s">
        <v>612</v>
      </c>
      <c r="AH70" s="5" t="s">
        <v>179</v>
      </c>
      <c r="AI70" s="5" t="s">
        <v>178</v>
      </c>
      <c r="AJ70" s="5" t="s">
        <v>178</v>
      </c>
      <c r="AK70" s="5" t="s">
        <v>178</v>
      </c>
      <c r="AL70" s="5" t="s">
        <v>178</v>
      </c>
      <c r="AM70" s="5">
        <v>10</v>
      </c>
      <c r="AN70" s="5">
        <v>10</v>
      </c>
      <c r="AO70" s="5">
        <v>10</v>
      </c>
      <c r="AP70" s="5">
        <v>10</v>
      </c>
      <c r="AQ70" s="5">
        <v>-77</v>
      </c>
      <c r="AR70" s="5">
        <v>-77</v>
      </c>
      <c r="AS70" s="5">
        <v>-77</v>
      </c>
      <c r="AT70" s="5">
        <v>-77</v>
      </c>
      <c r="AU70" s="5" t="s">
        <v>1048</v>
      </c>
      <c r="AV70" s="5">
        <v>-77</v>
      </c>
      <c r="AW70" s="6">
        <v>-99</v>
      </c>
      <c r="AX70" s="6">
        <v>-99</v>
      </c>
      <c r="AY70" s="6">
        <v>5</v>
      </c>
      <c r="AZ70" s="6" t="s">
        <v>925</v>
      </c>
      <c r="BA70" s="7" t="s">
        <v>735</v>
      </c>
    </row>
    <row r="71" spans="1:53" x14ac:dyDescent="0.25">
      <c r="A71" s="14" t="s">
        <v>639</v>
      </c>
      <c r="B71" s="2" t="s">
        <v>640</v>
      </c>
      <c r="C71" s="2" t="s">
        <v>386</v>
      </c>
      <c r="D71" s="2" t="s">
        <v>641</v>
      </c>
      <c r="E71" s="2" t="s">
        <v>642</v>
      </c>
      <c r="F71" s="2" t="s">
        <v>643</v>
      </c>
      <c r="G71" s="2" t="s">
        <v>644</v>
      </c>
      <c r="H71" s="2" t="s">
        <v>645</v>
      </c>
      <c r="I71" s="2" t="s">
        <v>646</v>
      </c>
      <c r="J71" s="3">
        <v>1</v>
      </c>
      <c r="K71" s="3">
        <v>-99</v>
      </c>
      <c r="L71" s="3" t="s">
        <v>969</v>
      </c>
      <c r="M71" s="3">
        <v>131</v>
      </c>
      <c r="N71" s="3">
        <v>0</v>
      </c>
      <c r="O71" s="4">
        <v>-77</v>
      </c>
      <c r="P71" s="4">
        <v>-77</v>
      </c>
      <c r="Q71" s="4">
        <v>0</v>
      </c>
      <c r="R71" s="4" t="s">
        <v>156</v>
      </c>
      <c r="S71" s="4" t="s">
        <v>157</v>
      </c>
      <c r="T71" s="4">
        <v>-77</v>
      </c>
      <c r="U71" s="4" t="s">
        <v>736</v>
      </c>
      <c r="V71" s="4" t="s">
        <v>738</v>
      </c>
      <c r="W71" s="4">
        <v>1</v>
      </c>
      <c r="X71" s="4">
        <v>100</v>
      </c>
      <c r="Y71" s="4">
        <v>0</v>
      </c>
      <c r="Z71" s="4" t="s">
        <v>287</v>
      </c>
      <c r="AA71" s="4" t="s">
        <v>1117</v>
      </c>
      <c r="AB71" s="4">
        <v>-77</v>
      </c>
      <c r="AC71" s="5">
        <v>4</v>
      </c>
      <c r="AD71" s="5">
        <v>2</v>
      </c>
      <c r="AE71" s="5">
        <v>2</v>
      </c>
      <c r="AF71" s="5">
        <v>-77</v>
      </c>
      <c r="AG71" s="5" t="s">
        <v>166</v>
      </c>
      <c r="AH71" s="5" t="s">
        <v>179</v>
      </c>
      <c r="AI71" s="5">
        <v>-77</v>
      </c>
      <c r="AJ71" s="5">
        <v>-77</v>
      </c>
      <c r="AK71" s="5">
        <v>-77</v>
      </c>
      <c r="AL71" s="5">
        <v>-77</v>
      </c>
      <c r="AM71" s="5">
        <v>-77</v>
      </c>
      <c r="AN71" s="5">
        <v>-77</v>
      </c>
      <c r="AO71" s="5">
        <v>-77</v>
      </c>
      <c r="AP71" s="5">
        <v>-77</v>
      </c>
      <c r="AQ71" s="16">
        <v>0.5</v>
      </c>
      <c r="AR71" s="16">
        <v>0.1</v>
      </c>
      <c r="AS71" s="16">
        <v>0.5</v>
      </c>
      <c r="AT71" s="16">
        <v>0.1</v>
      </c>
      <c r="AU71" s="5" t="s">
        <v>737</v>
      </c>
      <c r="AV71" s="5">
        <v>1</v>
      </c>
      <c r="AW71" s="6">
        <v>5</v>
      </c>
      <c r="AX71" s="6">
        <v>20</v>
      </c>
      <c r="AY71" s="6">
        <v>2</v>
      </c>
      <c r="AZ71" s="6" t="s">
        <v>926</v>
      </c>
      <c r="BA71" s="7">
        <v>-99</v>
      </c>
    </row>
    <row r="72" spans="1:53" x14ac:dyDescent="0.25">
      <c r="A72" s="14" t="s">
        <v>647</v>
      </c>
      <c r="B72" s="2" t="s">
        <v>648</v>
      </c>
      <c r="C72" s="2" t="s">
        <v>255</v>
      </c>
      <c r="D72" s="2" t="s">
        <v>649</v>
      </c>
      <c r="E72" s="2" t="s">
        <v>650</v>
      </c>
      <c r="F72" s="2" t="s">
        <v>231</v>
      </c>
      <c r="G72" s="2" t="s">
        <v>83</v>
      </c>
      <c r="H72" s="2" t="s">
        <v>651</v>
      </c>
      <c r="I72" s="2" t="s">
        <v>652</v>
      </c>
      <c r="J72" s="3">
        <v>1</v>
      </c>
      <c r="K72" s="3">
        <v>-99</v>
      </c>
      <c r="L72" s="3" t="s">
        <v>969</v>
      </c>
      <c r="M72" s="3">
        <v>48</v>
      </c>
      <c r="N72" s="3">
        <v>0</v>
      </c>
      <c r="O72" s="4" t="s">
        <v>945</v>
      </c>
      <c r="P72" s="4">
        <v>-77</v>
      </c>
      <c r="Q72" s="4">
        <v>0</v>
      </c>
      <c r="R72" s="4" t="s">
        <v>156</v>
      </c>
      <c r="S72" s="4" t="s">
        <v>157</v>
      </c>
      <c r="T72" s="4" t="s">
        <v>740</v>
      </c>
      <c r="U72" s="4" t="s">
        <v>739</v>
      </c>
      <c r="V72" s="4">
        <v>-77</v>
      </c>
      <c r="W72" s="4">
        <v>1</v>
      </c>
      <c r="X72" s="4">
        <v>100</v>
      </c>
      <c r="Y72" s="4">
        <v>0</v>
      </c>
      <c r="Z72" s="4">
        <v>-77</v>
      </c>
      <c r="AA72" s="4" t="s">
        <v>1118</v>
      </c>
      <c r="AB72" s="4">
        <v>-77</v>
      </c>
      <c r="AC72" s="5">
        <v>4</v>
      </c>
      <c r="AD72" s="5">
        <v>2</v>
      </c>
      <c r="AE72" s="5">
        <v>2</v>
      </c>
      <c r="AF72" s="5">
        <v>-77</v>
      </c>
      <c r="AG72" s="5">
        <v>-77</v>
      </c>
      <c r="AH72" s="5">
        <v>-77</v>
      </c>
      <c r="AI72" s="5">
        <v>-77</v>
      </c>
      <c r="AJ72" s="5">
        <v>-77</v>
      </c>
      <c r="AK72" s="5">
        <v>-77</v>
      </c>
      <c r="AL72" s="5">
        <v>-77</v>
      </c>
      <c r="AM72" s="5">
        <v>-77</v>
      </c>
      <c r="AN72" s="5">
        <v>-77</v>
      </c>
      <c r="AO72" s="5">
        <v>-77</v>
      </c>
      <c r="AP72" s="5">
        <v>-77</v>
      </c>
      <c r="AQ72" s="5">
        <v>-77</v>
      </c>
      <c r="AR72" s="5">
        <v>-77</v>
      </c>
      <c r="AS72" s="5">
        <v>-77</v>
      </c>
      <c r="AT72" s="5">
        <v>-77</v>
      </c>
      <c r="AU72" s="5">
        <v>-99</v>
      </c>
      <c r="AV72" s="5">
        <v>0</v>
      </c>
      <c r="AW72" s="6">
        <v>5</v>
      </c>
      <c r="AX72" s="6">
        <v>20</v>
      </c>
      <c r="AY72" s="6">
        <v>2</v>
      </c>
      <c r="AZ72" s="6" t="s">
        <v>927</v>
      </c>
      <c r="BA72" s="7">
        <v>-99</v>
      </c>
    </row>
    <row r="73" spans="1:53" x14ac:dyDescent="0.25">
      <c r="A73" s="14" t="s">
        <v>653</v>
      </c>
      <c r="B73" s="2" t="s">
        <v>654</v>
      </c>
      <c r="C73" s="2" t="s">
        <v>76</v>
      </c>
      <c r="D73" s="2" t="s">
        <v>655</v>
      </c>
      <c r="E73" s="2" t="s">
        <v>656</v>
      </c>
      <c r="F73" s="2" t="s">
        <v>657</v>
      </c>
      <c r="G73" s="2" t="s">
        <v>58</v>
      </c>
      <c r="H73" s="2" t="s">
        <v>658</v>
      </c>
      <c r="I73" s="2" t="s">
        <v>659</v>
      </c>
      <c r="J73" s="3">
        <v>1</v>
      </c>
      <c r="K73" s="3">
        <v>-99</v>
      </c>
      <c r="L73" s="3" t="s">
        <v>1019</v>
      </c>
      <c r="M73" s="3">
        <f>20+18</f>
        <v>38</v>
      </c>
      <c r="N73" s="3">
        <v>0</v>
      </c>
      <c r="O73" s="4" t="s">
        <v>292</v>
      </c>
      <c r="P73" s="4">
        <v>-77</v>
      </c>
      <c r="Q73" s="4">
        <v>-77</v>
      </c>
      <c r="R73" s="4" t="s">
        <v>156</v>
      </c>
      <c r="S73" s="4" t="s">
        <v>593</v>
      </c>
      <c r="T73" s="4" t="s">
        <v>162</v>
      </c>
      <c r="U73" s="4">
        <v>-77</v>
      </c>
      <c r="V73" s="4">
        <v>-77</v>
      </c>
      <c r="W73" s="4">
        <v>-77</v>
      </c>
      <c r="X73" s="4">
        <v>100</v>
      </c>
      <c r="Y73" s="4">
        <v>0</v>
      </c>
      <c r="Z73" s="4">
        <v>-77</v>
      </c>
      <c r="AA73" s="4" t="s">
        <v>1119</v>
      </c>
      <c r="AB73" s="4">
        <v>-77</v>
      </c>
      <c r="AC73" s="5">
        <v>4</v>
      </c>
      <c r="AD73" s="5">
        <v>2</v>
      </c>
      <c r="AE73" s="5">
        <v>2</v>
      </c>
      <c r="AF73" s="5">
        <v>-77</v>
      </c>
      <c r="AG73" s="5">
        <v>-77</v>
      </c>
      <c r="AH73" s="5">
        <v>-77</v>
      </c>
      <c r="AI73" s="5">
        <v>-77</v>
      </c>
      <c r="AJ73" s="5">
        <v>-77</v>
      </c>
      <c r="AK73" s="5">
        <v>-77</v>
      </c>
      <c r="AL73" s="5">
        <v>-77</v>
      </c>
      <c r="AM73" s="5">
        <v>-77</v>
      </c>
      <c r="AN73" s="5">
        <v>-77</v>
      </c>
      <c r="AO73" s="5">
        <v>-77</v>
      </c>
      <c r="AP73" s="5">
        <v>-77</v>
      </c>
      <c r="AQ73" s="5">
        <v>-77</v>
      </c>
      <c r="AR73" s="5">
        <v>-77</v>
      </c>
      <c r="AS73" s="5">
        <v>-77</v>
      </c>
      <c r="AT73" s="5">
        <v>-77</v>
      </c>
      <c r="AU73" s="5">
        <v>-99</v>
      </c>
      <c r="AV73" s="5">
        <v>-77</v>
      </c>
      <c r="AW73" s="6">
        <v>-99</v>
      </c>
      <c r="AX73" s="6">
        <v>-99</v>
      </c>
      <c r="AY73" s="6">
        <v>2</v>
      </c>
      <c r="AZ73" s="6" t="s">
        <v>928</v>
      </c>
      <c r="BA73" s="7" t="s">
        <v>761</v>
      </c>
    </row>
    <row r="74" spans="1:53" x14ac:dyDescent="0.25">
      <c r="A74" s="14" t="s">
        <v>660</v>
      </c>
      <c r="B74" s="2" t="s">
        <v>661</v>
      </c>
      <c r="C74" s="2" t="s">
        <v>215</v>
      </c>
      <c r="D74" s="2" t="s">
        <v>662</v>
      </c>
      <c r="E74" s="2" t="s">
        <v>489</v>
      </c>
      <c r="F74" s="2" t="s">
        <v>397</v>
      </c>
      <c r="G74" s="2" t="s">
        <v>73</v>
      </c>
      <c r="H74" s="2" t="s">
        <v>663</v>
      </c>
      <c r="I74" s="2" t="s">
        <v>664</v>
      </c>
      <c r="J74" s="3">
        <v>1</v>
      </c>
      <c r="K74" s="3">
        <v>-99</v>
      </c>
      <c r="L74" s="3" t="s">
        <v>1020</v>
      </c>
      <c r="M74" s="3">
        <v>32</v>
      </c>
      <c r="N74" s="3">
        <v>0</v>
      </c>
      <c r="O74" s="4" t="s">
        <v>155</v>
      </c>
      <c r="P74" s="4">
        <v>-77</v>
      </c>
      <c r="Q74" s="4">
        <v>0</v>
      </c>
      <c r="R74" s="4">
        <v>-77</v>
      </c>
      <c r="S74" s="4">
        <v>-77</v>
      </c>
      <c r="T74" s="4">
        <v>-77</v>
      </c>
      <c r="U74" s="4">
        <v>-77</v>
      </c>
      <c r="V74" s="4">
        <v>-77</v>
      </c>
      <c r="W74" s="4">
        <v>-77</v>
      </c>
      <c r="X74" s="4">
        <v>-77</v>
      </c>
      <c r="Y74" s="4">
        <v>-77</v>
      </c>
      <c r="Z74" s="4">
        <v>-77</v>
      </c>
      <c r="AA74" s="4" t="s">
        <v>1119</v>
      </c>
      <c r="AB74" s="4">
        <v>-77</v>
      </c>
      <c r="AC74" s="5">
        <v>-77</v>
      </c>
      <c r="AD74" s="5">
        <v>-77</v>
      </c>
      <c r="AE74" s="5">
        <v>-77</v>
      </c>
      <c r="AF74" s="5">
        <v>-77</v>
      </c>
      <c r="AG74" s="5">
        <v>-77</v>
      </c>
      <c r="AH74" s="5">
        <v>-77</v>
      </c>
      <c r="AI74" s="5">
        <v>-77</v>
      </c>
      <c r="AJ74" s="5">
        <v>-77</v>
      </c>
      <c r="AK74" s="5">
        <v>-77</v>
      </c>
      <c r="AL74" s="5">
        <v>-77</v>
      </c>
      <c r="AM74" s="5">
        <v>-77</v>
      </c>
      <c r="AN74" s="5">
        <v>-77</v>
      </c>
      <c r="AO74" s="5">
        <v>-77</v>
      </c>
      <c r="AP74" s="5">
        <v>-77</v>
      </c>
      <c r="AQ74" s="5">
        <v>-77</v>
      </c>
      <c r="AR74" s="5">
        <v>-77</v>
      </c>
      <c r="AS74" s="5">
        <v>-77</v>
      </c>
      <c r="AT74" s="5">
        <v>-77</v>
      </c>
      <c r="AU74" s="5">
        <v>-99</v>
      </c>
      <c r="AV74" s="5">
        <v>-77</v>
      </c>
      <c r="AW74" s="6">
        <v>-99</v>
      </c>
      <c r="AX74" s="6">
        <v>-99</v>
      </c>
      <c r="AY74" s="6">
        <v>1</v>
      </c>
      <c r="AZ74" s="6" t="s">
        <v>180</v>
      </c>
      <c r="BA74" s="7">
        <v>-99</v>
      </c>
    </row>
    <row r="75" spans="1:53" x14ac:dyDescent="0.25">
      <c r="A75" s="14" t="s">
        <v>665</v>
      </c>
      <c r="B75" s="2" t="s">
        <v>666</v>
      </c>
      <c r="C75" s="2" t="s">
        <v>76</v>
      </c>
      <c r="D75" s="2" t="s">
        <v>667</v>
      </c>
      <c r="E75" s="2" t="s">
        <v>668</v>
      </c>
      <c r="F75" s="2" t="s">
        <v>669</v>
      </c>
      <c r="G75" s="2" t="s">
        <v>58</v>
      </c>
      <c r="H75" s="2" t="s">
        <v>670</v>
      </c>
      <c r="I75" s="2" t="s">
        <v>671</v>
      </c>
      <c r="J75" s="3">
        <v>1</v>
      </c>
      <c r="K75" s="3">
        <v>-99</v>
      </c>
      <c r="L75" s="3" t="s">
        <v>1021</v>
      </c>
      <c r="M75" s="3">
        <v>108</v>
      </c>
      <c r="N75" s="3">
        <v>0</v>
      </c>
      <c r="O75" s="4" t="s">
        <v>741</v>
      </c>
      <c r="P75" s="4" t="s">
        <v>957</v>
      </c>
      <c r="Q75" s="4">
        <v>0</v>
      </c>
      <c r="R75" s="4">
        <v>-77</v>
      </c>
      <c r="S75" s="4">
        <v>-77</v>
      </c>
      <c r="T75" s="4">
        <v>-77</v>
      </c>
      <c r="U75" s="4">
        <v>-77</v>
      </c>
      <c r="V75" s="4">
        <v>-77</v>
      </c>
      <c r="W75" s="4">
        <v>-77</v>
      </c>
      <c r="X75" s="4">
        <v>-77</v>
      </c>
      <c r="Y75" s="4">
        <v>-77</v>
      </c>
      <c r="Z75" s="4">
        <v>-77</v>
      </c>
      <c r="AA75" s="4" t="s">
        <v>1120</v>
      </c>
      <c r="AB75" s="4">
        <v>1</v>
      </c>
      <c r="AC75" s="5">
        <v>-77</v>
      </c>
      <c r="AD75" s="5">
        <v>-77</v>
      </c>
      <c r="AE75" s="5">
        <v>-77</v>
      </c>
      <c r="AF75" s="5">
        <v>-77</v>
      </c>
      <c r="AG75" s="5">
        <v>-77</v>
      </c>
      <c r="AH75" s="5">
        <v>-77</v>
      </c>
      <c r="AI75" s="5">
        <v>-77</v>
      </c>
      <c r="AJ75" s="5">
        <v>-77</v>
      </c>
      <c r="AK75" s="5">
        <v>-77</v>
      </c>
      <c r="AL75" s="5">
        <v>-77</v>
      </c>
      <c r="AM75" s="5">
        <v>-77</v>
      </c>
      <c r="AN75" s="5">
        <v>-77</v>
      </c>
      <c r="AO75" s="5">
        <v>-77</v>
      </c>
      <c r="AP75" s="5">
        <v>-77</v>
      </c>
      <c r="AQ75" s="5">
        <v>-77</v>
      </c>
      <c r="AR75" s="5">
        <v>-77</v>
      </c>
      <c r="AS75" s="5">
        <v>-77</v>
      </c>
      <c r="AT75" s="5">
        <v>-77</v>
      </c>
      <c r="AU75" s="5" t="s">
        <v>1055</v>
      </c>
      <c r="AV75" s="5">
        <v>-77</v>
      </c>
      <c r="AW75" s="6">
        <v>5</v>
      </c>
      <c r="AX75" s="6">
        <v>20</v>
      </c>
      <c r="AY75" s="6">
        <v>6</v>
      </c>
      <c r="AZ75" s="6" t="s">
        <v>929</v>
      </c>
      <c r="BA75" s="7">
        <v>-99</v>
      </c>
    </row>
    <row r="76" spans="1:53" x14ac:dyDescent="0.25">
      <c r="A76" s="14" t="s">
        <v>503</v>
      </c>
      <c r="B76" s="2" t="s">
        <v>672</v>
      </c>
      <c r="C76" s="2" t="s">
        <v>255</v>
      </c>
      <c r="D76" s="2" t="s">
        <v>673</v>
      </c>
      <c r="E76" s="2" t="s">
        <v>674</v>
      </c>
      <c r="F76" s="2" t="s">
        <v>675</v>
      </c>
      <c r="G76" s="2" t="s">
        <v>83</v>
      </c>
      <c r="H76" s="2" t="s">
        <v>676</v>
      </c>
      <c r="I76" s="2" t="s">
        <v>677</v>
      </c>
      <c r="J76" s="3">
        <v>1</v>
      </c>
      <c r="K76" s="3">
        <v>-99</v>
      </c>
      <c r="L76" s="3" t="s">
        <v>1022</v>
      </c>
      <c r="M76" s="3">
        <v>80</v>
      </c>
      <c r="N76" s="3">
        <v>0</v>
      </c>
      <c r="O76" s="4" t="s">
        <v>880</v>
      </c>
      <c r="P76" s="4">
        <v>-77</v>
      </c>
      <c r="Q76" s="4">
        <v>0</v>
      </c>
      <c r="R76" s="4" t="s">
        <v>156</v>
      </c>
      <c r="S76" s="4" t="s">
        <v>157</v>
      </c>
      <c r="T76" s="4" t="s">
        <v>605</v>
      </c>
      <c r="U76" s="4" t="s">
        <v>606</v>
      </c>
      <c r="V76" s="4" t="s">
        <v>592</v>
      </c>
      <c r="W76" s="4">
        <v>-77</v>
      </c>
      <c r="X76" s="4">
        <v>100</v>
      </c>
      <c r="Y76" s="4">
        <v>0</v>
      </c>
      <c r="Z76" s="4">
        <v>-77</v>
      </c>
      <c r="AA76" s="4" t="s">
        <v>894</v>
      </c>
      <c r="AB76" s="4">
        <v>0</v>
      </c>
      <c r="AC76" s="5">
        <v>4</v>
      </c>
      <c r="AD76" s="5">
        <v>2</v>
      </c>
      <c r="AE76" s="5">
        <v>2</v>
      </c>
      <c r="AF76" s="5">
        <v>60</v>
      </c>
      <c r="AG76" s="5" t="s">
        <v>166</v>
      </c>
      <c r="AH76" s="5" t="s">
        <v>179</v>
      </c>
      <c r="AI76" s="5" t="s">
        <v>178</v>
      </c>
      <c r="AJ76" s="5" t="s">
        <v>178</v>
      </c>
      <c r="AK76" s="5" t="s">
        <v>178</v>
      </c>
      <c r="AL76" s="5" t="s">
        <v>178</v>
      </c>
      <c r="AM76" s="5">
        <v>10</v>
      </c>
      <c r="AN76" s="5">
        <v>10</v>
      </c>
      <c r="AO76" s="5">
        <v>10</v>
      </c>
      <c r="AP76" s="5">
        <v>10</v>
      </c>
      <c r="AQ76" s="16">
        <v>0.5</v>
      </c>
      <c r="AR76" s="16">
        <v>0.1</v>
      </c>
      <c r="AS76" s="16">
        <v>0.5</v>
      </c>
      <c r="AT76" s="16">
        <v>0.1</v>
      </c>
      <c r="AU76" s="5" t="s">
        <v>894</v>
      </c>
      <c r="AV76" s="5">
        <v>0</v>
      </c>
      <c r="AW76" s="6">
        <v>5</v>
      </c>
      <c r="AX76" s="6">
        <v>20</v>
      </c>
      <c r="AY76" s="6">
        <v>1</v>
      </c>
      <c r="AZ76" s="6" t="s">
        <v>161</v>
      </c>
      <c r="BA76" s="7">
        <v>-99</v>
      </c>
    </row>
    <row r="77" spans="1:53" x14ac:dyDescent="0.25">
      <c r="A77" s="14" t="s">
        <v>678</v>
      </c>
      <c r="B77" s="2" t="s">
        <v>679</v>
      </c>
      <c r="C77" s="2" t="s">
        <v>70</v>
      </c>
      <c r="D77" s="2" t="s">
        <v>680</v>
      </c>
      <c r="E77" s="2" t="s">
        <v>681</v>
      </c>
      <c r="F77" s="2" t="s">
        <v>50</v>
      </c>
      <c r="G77" s="2" t="s">
        <v>98</v>
      </c>
      <c r="H77" s="2"/>
      <c r="I77" s="2" t="s">
        <v>682</v>
      </c>
      <c r="J77" s="3">
        <v>1</v>
      </c>
      <c r="K77" s="3">
        <v>-99</v>
      </c>
      <c r="L77" s="3" t="s">
        <v>1023</v>
      </c>
      <c r="M77" s="3">
        <v>100</v>
      </c>
      <c r="N77" s="3">
        <v>0</v>
      </c>
      <c r="O77" s="4">
        <v>-77</v>
      </c>
      <c r="P77" s="4">
        <v>-77</v>
      </c>
      <c r="Q77" s="4">
        <v>-77</v>
      </c>
      <c r="R77" s="4" t="s">
        <v>156</v>
      </c>
      <c r="S77" s="4">
        <v>-77</v>
      </c>
      <c r="T77" s="4">
        <v>-77</v>
      </c>
      <c r="U77" s="4">
        <v>-77</v>
      </c>
      <c r="V77" s="4">
        <v>-77</v>
      </c>
      <c r="W77" s="4">
        <v>1</v>
      </c>
      <c r="X77" s="4">
        <v>60</v>
      </c>
      <c r="Y77" s="4">
        <v>0</v>
      </c>
      <c r="Z77" s="4">
        <v>-77</v>
      </c>
      <c r="AA77" s="4" t="s">
        <v>1114</v>
      </c>
      <c r="AB77" s="4">
        <v>1</v>
      </c>
      <c r="AC77" s="5">
        <v>4</v>
      </c>
      <c r="AD77" s="5">
        <v>2</v>
      </c>
      <c r="AE77" s="5">
        <v>2</v>
      </c>
      <c r="AF77" s="5">
        <v>-77</v>
      </c>
      <c r="AG77" s="5">
        <v>-55</v>
      </c>
      <c r="AH77" s="5">
        <v>-55</v>
      </c>
      <c r="AI77" s="5">
        <v>-55</v>
      </c>
      <c r="AJ77" s="5">
        <v>-55</v>
      </c>
      <c r="AK77" s="5">
        <v>-55</v>
      </c>
      <c r="AL77" s="5">
        <v>-55</v>
      </c>
      <c r="AM77" s="5">
        <v>10</v>
      </c>
      <c r="AN77" s="5">
        <v>10</v>
      </c>
      <c r="AO77" s="5">
        <v>10</v>
      </c>
      <c r="AP77" s="5">
        <v>10</v>
      </c>
      <c r="AQ77" s="16">
        <v>0.5</v>
      </c>
      <c r="AR77" s="16">
        <v>0.1</v>
      </c>
      <c r="AS77" s="16">
        <v>0.5</v>
      </c>
      <c r="AT77" s="16">
        <v>0.1</v>
      </c>
      <c r="AU77" s="5" t="s">
        <v>742</v>
      </c>
      <c r="AV77" s="5">
        <v>1</v>
      </c>
      <c r="AW77" s="17" t="s">
        <v>743</v>
      </c>
      <c r="AX77" s="17" t="s">
        <v>744</v>
      </c>
      <c r="AY77" s="6">
        <v>4</v>
      </c>
      <c r="AZ77" s="6" t="s">
        <v>930</v>
      </c>
      <c r="BA77" s="7">
        <v>-99</v>
      </c>
    </row>
    <row r="78" spans="1:53" x14ac:dyDescent="0.25">
      <c r="A78" s="14" t="s">
        <v>683</v>
      </c>
      <c r="B78" s="2" t="s">
        <v>684</v>
      </c>
      <c r="C78" s="2" t="s">
        <v>386</v>
      </c>
      <c r="D78" s="2" t="s">
        <v>685</v>
      </c>
      <c r="E78" s="2" t="s">
        <v>686</v>
      </c>
      <c r="F78" s="2" t="s">
        <v>58</v>
      </c>
      <c r="G78" s="2" t="s">
        <v>80</v>
      </c>
      <c r="H78" s="2" t="s">
        <v>687</v>
      </c>
      <c r="I78" s="2" t="s">
        <v>688</v>
      </c>
      <c r="J78" s="3">
        <v>1</v>
      </c>
      <c r="K78" s="3">
        <v>-99</v>
      </c>
      <c r="L78" s="3" t="s">
        <v>1024</v>
      </c>
      <c r="M78" s="3">
        <v>199</v>
      </c>
      <c r="N78" s="3">
        <v>0</v>
      </c>
      <c r="O78" s="4" t="s">
        <v>155</v>
      </c>
      <c r="P78" s="4">
        <v>-77</v>
      </c>
      <c r="Q78" s="4">
        <v>0</v>
      </c>
      <c r="R78" s="4" t="s">
        <v>156</v>
      </c>
      <c r="S78" s="4" t="s">
        <v>157</v>
      </c>
      <c r="T78" s="4" t="s">
        <v>410</v>
      </c>
      <c r="U78" s="4">
        <v>-77</v>
      </c>
      <c r="V78" s="4" t="s">
        <v>746</v>
      </c>
      <c r="W78" s="4">
        <v>-77</v>
      </c>
      <c r="X78" s="4">
        <v>100</v>
      </c>
      <c r="Y78" s="4">
        <v>0</v>
      </c>
      <c r="Z78" s="4">
        <v>-77</v>
      </c>
      <c r="AA78" s="4" t="s">
        <v>1121</v>
      </c>
      <c r="AB78" s="4">
        <v>-77</v>
      </c>
      <c r="AC78" s="5">
        <v>4</v>
      </c>
      <c r="AD78" s="5">
        <v>2</v>
      </c>
      <c r="AE78" s="5">
        <v>2</v>
      </c>
      <c r="AF78" s="5">
        <v>-77</v>
      </c>
      <c r="AG78" s="5">
        <v>-77</v>
      </c>
      <c r="AH78" s="5">
        <v>-77</v>
      </c>
      <c r="AI78" s="5">
        <v>-77</v>
      </c>
      <c r="AJ78" s="5">
        <v>-77</v>
      </c>
      <c r="AK78" s="5">
        <v>-77</v>
      </c>
      <c r="AL78" s="5">
        <v>-77</v>
      </c>
      <c r="AM78" s="5">
        <v>-77</v>
      </c>
      <c r="AN78" s="5">
        <v>-77</v>
      </c>
      <c r="AO78" s="5">
        <v>-77</v>
      </c>
      <c r="AP78" s="5">
        <v>-77</v>
      </c>
      <c r="AQ78" s="5">
        <v>-77</v>
      </c>
      <c r="AR78" s="5">
        <v>-77</v>
      </c>
      <c r="AS78" s="5">
        <v>-77</v>
      </c>
      <c r="AT78" s="5">
        <v>-77</v>
      </c>
      <c r="AU78" s="5">
        <v>-99</v>
      </c>
      <c r="AV78" s="5">
        <v>-77</v>
      </c>
      <c r="AW78" s="6">
        <v>5</v>
      </c>
      <c r="AX78" s="6">
        <v>20</v>
      </c>
      <c r="AY78" s="6">
        <v>4</v>
      </c>
      <c r="AZ78" s="6" t="s">
        <v>931</v>
      </c>
      <c r="BA78" s="7">
        <v>-99</v>
      </c>
    </row>
    <row r="79" spans="1:53" x14ac:dyDescent="0.25">
      <c r="A79" s="14" t="s">
        <v>689</v>
      </c>
      <c r="B79" s="2" t="s">
        <v>690</v>
      </c>
      <c r="C79" s="2" t="s">
        <v>222</v>
      </c>
      <c r="D79" s="2" t="s">
        <v>691</v>
      </c>
      <c r="E79" s="2" t="s">
        <v>628</v>
      </c>
      <c r="F79" s="2" t="s">
        <v>692</v>
      </c>
      <c r="G79" s="2" t="s">
        <v>98</v>
      </c>
      <c r="H79" s="2" t="s">
        <v>693</v>
      </c>
      <c r="I79" s="2" t="s">
        <v>694</v>
      </c>
      <c r="J79" s="3">
        <v>1</v>
      </c>
      <c r="K79" s="3">
        <v>-99</v>
      </c>
      <c r="L79" s="3" t="s">
        <v>1025</v>
      </c>
      <c r="M79" s="3">
        <v>15</v>
      </c>
      <c r="N79" s="3">
        <v>0</v>
      </c>
      <c r="O79" s="4" t="s">
        <v>887</v>
      </c>
      <c r="P79" s="4" t="s">
        <v>895</v>
      </c>
      <c r="Q79" s="4">
        <v>0</v>
      </c>
      <c r="R79" s="4" t="s">
        <v>751</v>
      </c>
      <c r="S79" s="4">
        <v>-77</v>
      </c>
      <c r="T79" s="4">
        <v>-77</v>
      </c>
      <c r="U79" s="4">
        <v>-77</v>
      </c>
      <c r="V79" s="4" t="s">
        <v>1052</v>
      </c>
      <c r="W79" s="4">
        <v>-77</v>
      </c>
      <c r="X79" s="4">
        <v>100</v>
      </c>
      <c r="Y79" s="4">
        <v>0</v>
      </c>
      <c r="Z79" s="4">
        <v>-77</v>
      </c>
      <c r="AA79" s="4" t="s">
        <v>747</v>
      </c>
      <c r="AB79" s="4">
        <v>1</v>
      </c>
      <c r="AC79" s="5">
        <v>4</v>
      </c>
      <c r="AD79" s="5">
        <v>2</v>
      </c>
      <c r="AE79" s="5">
        <v>2</v>
      </c>
      <c r="AF79" s="5">
        <v>40</v>
      </c>
      <c r="AG79" s="5" t="s">
        <v>748</v>
      </c>
      <c r="AH79" s="5" t="s">
        <v>749</v>
      </c>
      <c r="AI79" s="5" t="s">
        <v>750</v>
      </c>
      <c r="AJ79" s="5" t="s">
        <v>750</v>
      </c>
      <c r="AK79" s="5" t="s">
        <v>750</v>
      </c>
      <c r="AL79" s="5" t="s">
        <v>750</v>
      </c>
      <c r="AM79" s="5">
        <v>-77</v>
      </c>
      <c r="AN79" s="5">
        <v>-77</v>
      </c>
      <c r="AO79" s="5">
        <v>-77</v>
      </c>
      <c r="AP79" s="5">
        <v>-77</v>
      </c>
      <c r="AQ79" s="5">
        <v>-77</v>
      </c>
      <c r="AR79" s="5">
        <v>-77</v>
      </c>
      <c r="AS79" s="5">
        <v>-77</v>
      </c>
      <c r="AT79" s="5">
        <v>-77</v>
      </c>
      <c r="AU79" s="5" t="s">
        <v>747</v>
      </c>
      <c r="AV79" s="5">
        <v>1</v>
      </c>
      <c r="AW79" s="6">
        <v>4</v>
      </c>
      <c r="AX79" s="6">
        <v>25</v>
      </c>
      <c r="AY79" s="6">
        <v>2</v>
      </c>
      <c r="AZ79" s="6" t="s">
        <v>932</v>
      </c>
      <c r="BA79" s="7">
        <v>-99</v>
      </c>
    </row>
    <row r="80" spans="1:53" x14ac:dyDescent="0.25">
      <c r="A80" s="14" t="s">
        <v>695</v>
      </c>
      <c r="B80" s="2" t="s">
        <v>696</v>
      </c>
      <c r="C80" s="2" t="s">
        <v>334</v>
      </c>
      <c r="D80" s="2" t="s">
        <v>697</v>
      </c>
      <c r="E80" s="2" t="s">
        <v>698</v>
      </c>
      <c r="F80" s="2" t="s">
        <v>643</v>
      </c>
      <c r="G80" s="2" t="s">
        <v>73</v>
      </c>
      <c r="H80" s="2" t="s">
        <v>699</v>
      </c>
      <c r="I80" s="2" t="s">
        <v>700</v>
      </c>
      <c r="J80" s="3">
        <v>1</v>
      </c>
      <c r="K80" s="3">
        <v>-99</v>
      </c>
      <c r="L80" s="3" t="s">
        <v>1026</v>
      </c>
      <c r="M80" s="3">
        <v>482</v>
      </c>
      <c r="N80" s="3">
        <v>0</v>
      </c>
      <c r="O80" s="4" t="s">
        <v>155</v>
      </c>
      <c r="P80" s="4">
        <v>-77</v>
      </c>
      <c r="Q80" s="4">
        <v>0</v>
      </c>
      <c r="R80" s="4" t="s">
        <v>156</v>
      </c>
      <c r="S80" s="4">
        <v>-77</v>
      </c>
      <c r="T80" s="4" t="s">
        <v>162</v>
      </c>
      <c r="U80" s="4" t="s">
        <v>752</v>
      </c>
      <c r="V80" s="4">
        <v>-77</v>
      </c>
      <c r="W80" s="4">
        <v>-77</v>
      </c>
      <c r="X80" s="4">
        <v>100</v>
      </c>
      <c r="Y80" s="4">
        <v>0</v>
      </c>
      <c r="Z80" s="4">
        <v>-77</v>
      </c>
      <c r="AA80" s="4" t="s">
        <v>1102</v>
      </c>
      <c r="AB80" s="4">
        <v>-77</v>
      </c>
      <c r="AC80" s="5">
        <v>4</v>
      </c>
      <c r="AD80" s="5">
        <v>2</v>
      </c>
      <c r="AE80" s="5">
        <v>2</v>
      </c>
      <c r="AF80" s="5">
        <v>-77</v>
      </c>
      <c r="AG80" s="5">
        <v>-77</v>
      </c>
      <c r="AH80" s="5">
        <v>-77</v>
      </c>
      <c r="AI80" s="5">
        <v>-77</v>
      </c>
      <c r="AJ80" s="5">
        <v>-77</v>
      </c>
      <c r="AK80" s="5">
        <v>-77</v>
      </c>
      <c r="AL80" s="5">
        <v>-77</v>
      </c>
      <c r="AM80" s="5">
        <v>-77</v>
      </c>
      <c r="AN80" s="5">
        <v>-77</v>
      </c>
      <c r="AO80" s="5">
        <v>-77</v>
      </c>
      <c r="AP80" s="5">
        <v>-77</v>
      </c>
      <c r="AQ80" s="5">
        <v>-77</v>
      </c>
      <c r="AR80" s="5">
        <v>-77</v>
      </c>
      <c r="AS80" s="5">
        <v>-77</v>
      </c>
      <c r="AT80" s="5">
        <v>-77</v>
      </c>
      <c r="AU80" s="5">
        <v>-99</v>
      </c>
      <c r="AV80" s="5">
        <v>-77</v>
      </c>
      <c r="AW80" s="6">
        <v>-99</v>
      </c>
      <c r="AX80" s="6">
        <v>-99</v>
      </c>
      <c r="AY80" s="6">
        <v>1</v>
      </c>
      <c r="AZ80" s="6" t="s">
        <v>753</v>
      </c>
      <c r="BA80" s="7">
        <v>-99</v>
      </c>
    </row>
    <row r="81" spans="1:53" x14ac:dyDescent="0.25">
      <c r="A81" s="14" t="s">
        <v>701</v>
      </c>
      <c r="B81" s="2" t="s">
        <v>702</v>
      </c>
      <c r="C81" s="2" t="s">
        <v>215</v>
      </c>
      <c r="D81" s="2" t="s">
        <v>703</v>
      </c>
      <c r="E81" s="2" t="s">
        <v>509</v>
      </c>
      <c r="F81" s="2" t="s">
        <v>704</v>
      </c>
      <c r="G81" s="2" t="s">
        <v>73</v>
      </c>
      <c r="H81" s="2" t="s">
        <v>705</v>
      </c>
      <c r="I81" s="2" t="s">
        <v>706</v>
      </c>
      <c r="J81" s="3">
        <v>1</v>
      </c>
      <c r="K81" s="3">
        <v>-99</v>
      </c>
      <c r="L81" s="3" t="s">
        <v>1027</v>
      </c>
      <c r="M81" s="3">
        <v>70</v>
      </c>
      <c r="N81" s="3">
        <v>0</v>
      </c>
      <c r="O81" s="4" t="s">
        <v>155</v>
      </c>
      <c r="P81" s="4">
        <v>-77</v>
      </c>
      <c r="Q81" s="4">
        <v>0</v>
      </c>
      <c r="R81" s="4" t="s">
        <v>156</v>
      </c>
      <c r="S81" s="4">
        <v>-77</v>
      </c>
      <c r="T81" s="4" t="s">
        <v>162</v>
      </c>
      <c r="U81" s="4">
        <v>-77</v>
      </c>
      <c r="V81" s="4">
        <v>-77</v>
      </c>
      <c r="W81" s="4">
        <v>-77</v>
      </c>
      <c r="X81" s="4">
        <v>100</v>
      </c>
      <c r="Y81" s="4">
        <v>0</v>
      </c>
      <c r="Z81" s="4">
        <v>-77</v>
      </c>
      <c r="AA81" s="4" t="s">
        <v>1122</v>
      </c>
      <c r="AB81" s="4">
        <v>-77</v>
      </c>
      <c r="AC81" s="5">
        <v>4</v>
      </c>
      <c r="AD81" s="5">
        <v>2</v>
      </c>
      <c r="AE81" s="5">
        <v>2</v>
      </c>
      <c r="AF81" s="5">
        <v>-77</v>
      </c>
      <c r="AG81" s="5">
        <v>-77</v>
      </c>
      <c r="AH81" s="5">
        <v>-77</v>
      </c>
      <c r="AI81" s="5">
        <v>-77</v>
      </c>
      <c r="AJ81" s="5">
        <v>-77</v>
      </c>
      <c r="AK81" s="5">
        <v>-77</v>
      </c>
      <c r="AL81" s="5">
        <v>-77</v>
      </c>
      <c r="AM81" s="5">
        <v>-77</v>
      </c>
      <c r="AN81" s="5">
        <v>-77</v>
      </c>
      <c r="AO81" s="5">
        <v>-77</v>
      </c>
      <c r="AP81" s="5">
        <v>-77</v>
      </c>
      <c r="AQ81" s="5">
        <v>-77</v>
      </c>
      <c r="AR81" s="5">
        <v>-77</v>
      </c>
      <c r="AS81" s="5">
        <v>-77</v>
      </c>
      <c r="AT81" s="5">
        <v>-77</v>
      </c>
      <c r="AU81" s="5">
        <v>-99</v>
      </c>
      <c r="AV81" s="5">
        <v>-77</v>
      </c>
      <c r="AW81" s="6">
        <v>5</v>
      </c>
      <c r="AX81" s="6">
        <v>20</v>
      </c>
      <c r="AY81" s="6">
        <v>2</v>
      </c>
      <c r="AZ81" s="6" t="s">
        <v>896</v>
      </c>
      <c r="BA81" s="7">
        <v>-99</v>
      </c>
    </row>
    <row r="82" spans="1:53" x14ac:dyDescent="0.25">
      <c r="A82" s="14" t="s">
        <v>707</v>
      </c>
      <c r="B82" s="2" t="s">
        <v>708</v>
      </c>
      <c r="C82" s="2" t="s">
        <v>150</v>
      </c>
      <c r="D82" s="2" t="s">
        <v>709</v>
      </c>
      <c r="E82" s="2" t="s">
        <v>710</v>
      </c>
      <c r="F82" s="2" t="s">
        <v>337</v>
      </c>
      <c r="G82" s="2"/>
      <c r="H82" s="2"/>
      <c r="I82" s="2"/>
      <c r="J82" s="3">
        <v>1</v>
      </c>
      <c r="K82" s="3">
        <v>-99</v>
      </c>
      <c r="L82" s="3" t="s">
        <v>1028</v>
      </c>
      <c r="M82" s="3">
        <v>33</v>
      </c>
      <c r="N82" s="3">
        <v>0</v>
      </c>
      <c r="O82" s="4" t="s">
        <v>155</v>
      </c>
      <c r="P82" s="4">
        <v>-77</v>
      </c>
      <c r="Q82" s="4">
        <v>0</v>
      </c>
      <c r="R82" s="4" t="s">
        <v>751</v>
      </c>
      <c r="S82" s="4">
        <v>-77</v>
      </c>
      <c r="T82" s="4" t="s">
        <v>755</v>
      </c>
      <c r="U82" s="4" t="s">
        <v>756</v>
      </c>
      <c r="V82" s="4" t="s">
        <v>754</v>
      </c>
      <c r="W82" s="4">
        <v>-77</v>
      </c>
      <c r="X82" s="20">
        <v>400</v>
      </c>
      <c r="Y82" s="4">
        <v>0</v>
      </c>
      <c r="Z82" s="4" t="s">
        <v>287</v>
      </c>
      <c r="AA82" s="4" t="s">
        <v>1123</v>
      </c>
      <c r="AB82" s="4">
        <v>1</v>
      </c>
      <c r="AC82" s="5">
        <v>4</v>
      </c>
      <c r="AD82" s="5">
        <v>2</v>
      </c>
      <c r="AE82" s="5">
        <v>2</v>
      </c>
      <c r="AF82" s="5">
        <v>-77</v>
      </c>
      <c r="AG82" s="5">
        <v>-77</v>
      </c>
      <c r="AH82" s="5">
        <v>-77</v>
      </c>
      <c r="AI82" s="5">
        <v>-77</v>
      </c>
      <c r="AJ82" s="5">
        <v>-77</v>
      </c>
      <c r="AK82" s="5">
        <v>-77</v>
      </c>
      <c r="AL82" s="5">
        <v>-77</v>
      </c>
      <c r="AM82" s="5">
        <v>10</v>
      </c>
      <c r="AN82" s="5">
        <v>10</v>
      </c>
      <c r="AO82" s="5">
        <v>10</v>
      </c>
      <c r="AP82" s="5">
        <v>10</v>
      </c>
      <c r="AQ82" s="16">
        <v>0.5</v>
      </c>
      <c r="AR82" s="16">
        <v>0.1</v>
      </c>
      <c r="AS82" s="16">
        <v>0.5</v>
      </c>
      <c r="AT82" s="16">
        <v>0.1</v>
      </c>
      <c r="AU82" s="5" t="s">
        <v>1054</v>
      </c>
      <c r="AV82" s="5">
        <v>0</v>
      </c>
      <c r="AW82" s="6">
        <v>10</v>
      </c>
      <c r="AX82" s="6">
        <v>20</v>
      </c>
      <c r="AY82" s="6">
        <v>3</v>
      </c>
      <c r="AZ82" s="6" t="s">
        <v>933</v>
      </c>
      <c r="BA82" s="7">
        <v>-99</v>
      </c>
    </row>
    <row r="83" spans="1:53" x14ac:dyDescent="0.25">
      <c r="A83" s="14" t="s">
        <v>711</v>
      </c>
      <c r="B83" s="2" t="s">
        <v>712</v>
      </c>
      <c r="C83" s="2" t="s">
        <v>54</v>
      </c>
      <c r="D83" s="2" t="s">
        <v>713</v>
      </c>
      <c r="E83" s="2" t="s">
        <v>714</v>
      </c>
      <c r="F83" s="2" t="s">
        <v>79</v>
      </c>
      <c r="G83" s="2" t="s">
        <v>345</v>
      </c>
      <c r="H83" s="2" t="s">
        <v>715</v>
      </c>
      <c r="I83" s="2" t="s">
        <v>716</v>
      </c>
      <c r="J83" s="3">
        <v>1</v>
      </c>
      <c r="K83" s="3">
        <v>-99</v>
      </c>
      <c r="L83" s="3" t="s">
        <v>1029</v>
      </c>
      <c r="M83" s="3">
        <f>30+30</f>
        <v>60</v>
      </c>
      <c r="N83" s="3">
        <v>0</v>
      </c>
      <c r="O83" s="4" t="s">
        <v>155</v>
      </c>
      <c r="P83" s="4">
        <v>-77</v>
      </c>
      <c r="Q83" s="4">
        <v>-77</v>
      </c>
      <c r="R83" s="4">
        <v>-77</v>
      </c>
      <c r="S83" s="4">
        <v>-77</v>
      </c>
      <c r="T83" s="4">
        <v>-77</v>
      </c>
      <c r="U83" s="4">
        <v>-77</v>
      </c>
      <c r="V83" s="4">
        <v>-77</v>
      </c>
      <c r="W83" s="4">
        <v>-77</v>
      </c>
      <c r="X83" s="4">
        <v>100</v>
      </c>
      <c r="Y83" s="4">
        <v>0</v>
      </c>
      <c r="Z83" s="4">
        <v>-77</v>
      </c>
      <c r="AA83" s="4" t="s">
        <v>1124</v>
      </c>
      <c r="AB83" s="4">
        <v>-77</v>
      </c>
      <c r="AC83" s="5">
        <v>4</v>
      </c>
      <c r="AD83" s="5">
        <v>2</v>
      </c>
      <c r="AE83" s="5">
        <v>2</v>
      </c>
      <c r="AF83" s="5">
        <v>40</v>
      </c>
      <c r="AG83" s="5">
        <v>-77</v>
      </c>
      <c r="AH83" s="5">
        <v>-77</v>
      </c>
      <c r="AI83" s="5">
        <v>-77</v>
      </c>
      <c r="AJ83" s="5">
        <v>-77</v>
      </c>
      <c r="AK83" s="5">
        <v>-77</v>
      </c>
      <c r="AL83" s="5">
        <v>-77</v>
      </c>
      <c r="AM83" s="5">
        <v>-77</v>
      </c>
      <c r="AN83" s="5">
        <v>-77</v>
      </c>
      <c r="AO83" s="5">
        <v>-77</v>
      </c>
      <c r="AP83" s="5">
        <v>-77</v>
      </c>
      <c r="AQ83" s="5">
        <v>-77</v>
      </c>
      <c r="AR83" s="5">
        <v>-77</v>
      </c>
      <c r="AS83" s="5">
        <v>-77</v>
      </c>
      <c r="AT83" s="5">
        <v>-77</v>
      </c>
      <c r="AU83" s="5">
        <v>-99</v>
      </c>
      <c r="AV83" s="5">
        <v>-77</v>
      </c>
      <c r="AW83" s="6">
        <v>-99</v>
      </c>
      <c r="AX83" s="6">
        <v>-99</v>
      </c>
      <c r="AY83" s="6">
        <v>3</v>
      </c>
      <c r="AZ83" s="6" t="s">
        <v>934</v>
      </c>
      <c r="BA83" s="7">
        <v>-99</v>
      </c>
    </row>
    <row r="84" spans="1:53" x14ac:dyDescent="0.25">
      <c r="A84" s="14" t="s">
        <v>717</v>
      </c>
      <c r="B84" s="2" t="s">
        <v>718</v>
      </c>
      <c r="C84" s="2" t="s">
        <v>63</v>
      </c>
      <c r="D84" s="2" t="s">
        <v>719</v>
      </c>
      <c r="E84" s="2" t="s">
        <v>720</v>
      </c>
      <c r="F84" s="2" t="s">
        <v>83</v>
      </c>
      <c r="G84" s="2"/>
      <c r="H84" s="2"/>
      <c r="I84" s="2" t="s">
        <v>721</v>
      </c>
      <c r="J84" s="3">
        <v>1</v>
      </c>
      <c r="K84" s="3">
        <v>-99</v>
      </c>
      <c r="L84" s="3" t="s">
        <v>1030</v>
      </c>
      <c r="M84" s="3">
        <f>44+34</f>
        <v>78</v>
      </c>
      <c r="N84" s="3">
        <v>0</v>
      </c>
      <c r="O84" s="4" t="s">
        <v>155</v>
      </c>
      <c r="P84" s="4">
        <v>-77</v>
      </c>
      <c r="Q84" s="4">
        <v>-77</v>
      </c>
      <c r="R84" s="4" t="s">
        <v>156</v>
      </c>
      <c r="S84" s="4">
        <v>-77</v>
      </c>
      <c r="T84" s="4">
        <v>-77</v>
      </c>
      <c r="U84" s="4">
        <v>-77</v>
      </c>
      <c r="V84" s="4">
        <v>-77</v>
      </c>
      <c r="W84" s="4">
        <v>-77</v>
      </c>
      <c r="X84" s="4">
        <v>100</v>
      </c>
      <c r="Y84" s="4">
        <v>0</v>
      </c>
      <c r="Z84" s="4">
        <v>-77</v>
      </c>
      <c r="AA84" s="4" t="s">
        <v>1124</v>
      </c>
      <c r="AB84" s="4">
        <v>-77</v>
      </c>
      <c r="AC84" s="5">
        <v>4</v>
      </c>
      <c r="AD84" s="5">
        <v>2</v>
      </c>
      <c r="AE84" s="5">
        <v>2</v>
      </c>
      <c r="AF84" s="5">
        <v>50</v>
      </c>
      <c r="AG84" s="5" t="s">
        <v>757</v>
      </c>
      <c r="AH84" s="5" t="s">
        <v>758</v>
      </c>
      <c r="AI84" s="5" t="s">
        <v>759</v>
      </c>
      <c r="AJ84" s="5" t="s">
        <v>759</v>
      </c>
      <c r="AK84" s="5" t="s">
        <v>759</v>
      </c>
      <c r="AL84" s="5" t="s">
        <v>759</v>
      </c>
      <c r="AM84" s="5">
        <v>10</v>
      </c>
      <c r="AN84" s="5">
        <v>10</v>
      </c>
      <c r="AO84" s="5">
        <v>10</v>
      </c>
      <c r="AP84" s="5">
        <v>10</v>
      </c>
      <c r="AQ84" s="16">
        <v>0.5</v>
      </c>
      <c r="AR84" s="16">
        <v>0.1</v>
      </c>
      <c r="AS84" s="16">
        <v>0.5</v>
      </c>
      <c r="AT84" s="16">
        <v>0.1</v>
      </c>
      <c r="AU84" s="5">
        <v>-99</v>
      </c>
      <c r="AV84" s="5">
        <v>1</v>
      </c>
      <c r="AW84" s="6">
        <v>10</v>
      </c>
      <c r="AX84" s="6">
        <v>10</v>
      </c>
      <c r="AY84" s="6">
        <v>9</v>
      </c>
      <c r="AZ84" s="6" t="s">
        <v>935</v>
      </c>
      <c r="BA84" s="7">
        <v>-99</v>
      </c>
    </row>
    <row r="85" spans="1:53" x14ac:dyDescent="0.25">
      <c r="A85" s="14" t="s">
        <v>551</v>
      </c>
      <c r="B85" s="2" t="s">
        <v>722</v>
      </c>
      <c r="C85" s="2" t="s">
        <v>51</v>
      </c>
      <c r="D85" s="2" t="s">
        <v>723</v>
      </c>
      <c r="E85" s="2" t="s">
        <v>250</v>
      </c>
      <c r="F85" s="2" t="s">
        <v>643</v>
      </c>
      <c r="G85" s="2" t="s">
        <v>80</v>
      </c>
      <c r="H85" s="2" t="s">
        <v>724</v>
      </c>
      <c r="I85" s="2" t="s">
        <v>725</v>
      </c>
      <c r="J85" s="3">
        <v>1</v>
      </c>
      <c r="K85" s="3">
        <v>-99</v>
      </c>
      <c r="L85" s="3" t="s">
        <v>1031</v>
      </c>
      <c r="M85" s="3">
        <f>91+98</f>
        <v>189</v>
      </c>
      <c r="N85" s="3">
        <v>0</v>
      </c>
      <c r="O85" s="4" t="s">
        <v>884</v>
      </c>
      <c r="P85" s="4">
        <v>-77</v>
      </c>
      <c r="Q85" s="4">
        <v>0</v>
      </c>
      <c r="R85" s="4" t="s">
        <v>156</v>
      </c>
      <c r="S85" s="4">
        <v>-77</v>
      </c>
      <c r="T85" s="4" t="s">
        <v>162</v>
      </c>
      <c r="U85" s="4" t="s">
        <v>760</v>
      </c>
      <c r="V85" s="4">
        <v>-77</v>
      </c>
      <c r="W85" s="4">
        <v>-77</v>
      </c>
      <c r="X85" s="4">
        <v>100</v>
      </c>
      <c r="Y85" s="4">
        <v>0</v>
      </c>
      <c r="Z85" s="4">
        <v>-77</v>
      </c>
      <c r="AA85" s="4" t="s">
        <v>1125</v>
      </c>
      <c r="AB85" s="4">
        <v>0</v>
      </c>
      <c r="AC85" s="5">
        <v>4</v>
      </c>
      <c r="AD85" s="5">
        <v>2</v>
      </c>
      <c r="AE85" s="5">
        <v>2</v>
      </c>
      <c r="AF85" s="5">
        <v>-77</v>
      </c>
      <c r="AG85" s="5">
        <v>-77</v>
      </c>
      <c r="AH85" s="5">
        <v>-77</v>
      </c>
      <c r="AI85" s="5">
        <v>-77</v>
      </c>
      <c r="AJ85" s="5">
        <v>-77</v>
      </c>
      <c r="AK85" s="5">
        <v>-77</v>
      </c>
      <c r="AL85" s="5">
        <v>-77</v>
      </c>
      <c r="AM85" s="5">
        <v>-77</v>
      </c>
      <c r="AN85" s="5">
        <v>-77</v>
      </c>
      <c r="AO85" s="5">
        <v>-77</v>
      </c>
      <c r="AP85" s="5">
        <v>-77</v>
      </c>
      <c r="AQ85" s="5">
        <v>-77</v>
      </c>
      <c r="AR85" s="5">
        <v>-77</v>
      </c>
      <c r="AS85" s="5">
        <v>-77</v>
      </c>
      <c r="AT85" s="5">
        <v>-77</v>
      </c>
      <c r="AU85" s="5">
        <v>-99</v>
      </c>
      <c r="AV85" s="5">
        <v>0</v>
      </c>
      <c r="AW85" s="6">
        <v>-99</v>
      </c>
      <c r="AX85" s="6">
        <v>-99</v>
      </c>
      <c r="AY85" s="6">
        <v>1</v>
      </c>
      <c r="AZ85" s="6" t="s">
        <v>160</v>
      </c>
      <c r="BA85" s="7">
        <v>-99</v>
      </c>
    </row>
    <row r="86" spans="1:53" x14ac:dyDescent="0.25">
      <c r="A86" s="14" t="s">
        <v>657</v>
      </c>
      <c r="B86" s="2" t="s">
        <v>762</v>
      </c>
      <c r="C86" s="2" t="s">
        <v>334</v>
      </c>
      <c r="D86" s="2" t="s">
        <v>763</v>
      </c>
      <c r="E86" s="2" t="s">
        <v>764</v>
      </c>
      <c r="F86" s="2" t="s">
        <v>765</v>
      </c>
      <c r="G86" s="2" t="s">
        <v>83</v>
      </c>
      <c r="H86" s="2" t="s">
        <v>766</v>
      </c>
      <c r="I86" s="2" t="s">
        <v>767</v>
      </c>
      <c r="J86" s="3">
        <v>1</v>
      </c>
      <c r="K86" s="3">
        <v>-99</v>
      </c>
      <c r="L86" s="3" t="s">
        <v>1032</v>
      </c>
      <c r="M86" s="3">
        <f>10+35+14</f>
        <v>59</v>
      </c>
      <c r="N86" s="3">
        <v>0</v>
      </c>
      <c r="O86" s="4" t="s">
        <v>155</v>
      </c>
      <c r="P86" s="4">
        <v>-77</v>
      </c>
      <c r="Q86" s="4">
        <v>-77</v>
      </c>
      <c r="R86" s="4" t="s">
        <v>156</v>
      </c>
      <c r="S86" s="4" t="s">
        <v>157</v>
      </c>
      <c r="T86" s="4">
        <v>-77</v>
      </c>
      <c r="U86" s="4">
        <v>-77</v>
      </c>
      <c r="V86" s="4">
        <v>-77</v>
      </c>
      <c r="W86" s="4">
        <v>-77</v>
      </c>
      <c r="X86" s="4">
        <v>100</v>
      </c>
      <c r="Y86" s="4">
        <v>0</v>
      </c>
      <c r="Z86" s="4">
        <v>-77</v>
      </c>
      <c r="AA86" s="4" t="s">
        <v>1119</v>
      </c>
      <c r="AB86" s="4">
        <v>-77</v>
      </c>
      <c r="AC86" s="5">
        <v>4</v>
      </c>
      <c r="AD86" s="5">
        <v>2</v>
      </c>
      <c r="AE86" s="5">
        <v>2</v>
      </c>
      <c r="AF86" s="5">
        <v>-77</v>
      </c>
      <c r="AG86" s="5">
        <v>-77</v>
      </c>
      <c r="AH86" s="5">
        <v>-77</v>
      </c>
      <c r="AI86" s="5">
        <v>-77</v>
      </c>
      <c r="AJ86" s="5">
        <v>-77</v>
      </c>
      <c r="AK86" s="5">
        <v>-77</v>
      </c>
      <c r="AL86" s="5">
        <v>-77</v>
      </c>
      <c r="AM86" s="5">
        <v>-77</v>
      </c>
      <c r="AN86" s="5">
        <v>-77</v>
      </c>
      <c r="AO86" s="5">
        <v>-77</v>
      </c>
      <c r="AP86" s="5">
        <v>-77</v>
      </c>
      <c r="AQ86" s="5">
        <v>-77</v>
      </c>
      <c r="AR86" s="5">
        <v>-77</v>
      </c>
      <c r="AS86" s="5">
        <v>-77</v>
      </c>
      <c r="AT86" s="5">
        <v>-77</v>
      </c>
      <c r="AU86" s="5">
        <v>-99</v>
      </c>
      <c r="AV86" s="5">
        <v>-77</v>
      </c>
      <c r="AW86" s="6">
        <v>5</v>
      </c>
      <c r="AX86" s="6">
        <v>20</v>
      </c>
      <c r="AY86" s="6">
        <v>2</v>
      </c>
      <c r="AZ86" s="6" t="s">
        <v>896</v>
      </c>
      <c r="BA86" s="7">
        <v>-99</v>
      </c>
    </row>
    <row r="87" spans="1:53" x14ac:dyDescent="0.25">
      <c r="A87" s="14" t="s">
        <v>768</v>
      </c>
      <c r="B87" s="2" t="s">
        <v>769</v>
      </c>
      <c r="C87" s="2" t="s">
        <v>142</v>
      </c>
      <c r="D87" s="2" t="s">
        <v>770</v>
      </c>
      <c r="E87" s="2" t="s">
        <v>771</v>
      </c>
      <c r="F87" s="2" t="s">
        <v>231</v>
      </c>
      <c r="G87" s="2" t="s">
        <v>73</v>
      </c>
      <c r="H87" s="2" t="s">
        <v>772</v>
      </c>
      <c r="I87" s="2" t="s">
        <v>773</v>
      </c>
      <c r="J87" s="3">
        <v>1</v>
      </c>
      <c r="K87" s="3">
        <v>-99</v>
      </c>
      <c r="L87" s="3" t="s">
        <v>1033</v>
      </c>
      <c r="M87" s="3">
        <f>13+13</f>
        <v>26</v>
      </c>
      <c r="N87" s="3">
        <v>0</v>
      </c>
      <c r="O87" s="4" t="s">
        <v>155</v>
      </c>
      <c r="P87" s="4">
        <v>-77</v>
      </c>
      <c r="Q87" s="4">
        <v>-77</v>
      </c>
      <c r="R87" s="4">
        <v>-77</v>
      </c>
      <c r="S87" s="4">
        <v>-77</v>
      </c>
      <c r="T87" s="4">
        <v>-77</v>
      </c>
      <c r="U87" s="4">
        <v>-77</v>
      </c>
      <c r="V87" s="4">
        <v>-77</v>
      </c>
      <c r="W87" s="4">
        <v>-77</v>
      </c>
      <c r="X87" s="4">
        <v>100</v>
      </c>
      <c r="Y87" s="4">
        <v>0</v>
      </c>
      <c r="Z87" s="4">
        <v>-77</v>
      </c>
      <c r="AA87" s="4" t="s">
        <v>1119</v>
      </c>
      <c r="AB87" s="4">
        <v>-77</v>
      </c>
      <c r="AC87" s="5">
        <v>-77</v>
      </c>
      <c r="AD87" s="5">
        <v>-77</v>
      </c>
      <c r="AE87" s="5">
        <v>-77</v>
      </c>
      <c r="AF87" s="5">
        <v>-77</v>
      </c>
      <c r="AG87" s="5">
        <v>-77</v>
      </c>
      <c r="AH87" s="5">
        <v>-77</v>
      </c>
      <c r="AI87" s="5">
        <v>-77</v>
      </c>
      <c r="AJ87" s="5">
        <v>-77</v>
      </c>
      <c r="AK87" s="5">
        <v>-77</v>
      </c>
      <c r="AL87" s="5">
        <v>-77</v>
      </c>
      <c r="AM87" s="5">
        <v>-77</v>
      </c>
      <c r="AN87" s="5">
        <v>-77</v>
      </c>
      <c r="AO87" s="5">
        <v>-77</v>
      </c>
      <c r="AP87" s="5">
        <v>-77</v>
      </c>
      <c r="AQ87" s="5">
        <v>-77</v>
      </c>
      <c r="AR87" s="5">
        <v>-77</v>
      </c>
      <c r="AS87" s="5">
        <v>-77</v>
      </c>
      <c r="AT87" s="5">
        <v>-77</v>
      </c>
      <c r="AU87" s="5">
        <v>-99</v>
      </c>
      <c r="AV87" s="5">
        <v>-77</v>
      </c>
      <c r="AW87" s="6">
        <v>5</v>
      </c>
      <c r="AX87" s="6">
        <v>20</v>
      </c>
      <c r="AY87" s="6">
        <v>3</v>
      </c>
      <c r="AZ87" s="6" t="s">
        <v>936</v>
      </c>
      <c r="BA87" s="7" t="s">
        <v>851</v>
      </c>
    </row>
    <row r="88" spans="1:53" x14ac:dyDescent="0.25">
      <c r="A88" s="14" t="s">
        <v>774</v>
      </c>
      <c r="B88" s="2" t="s">
        <v>775</v>
      </c>
      <c r="C88" s="2" t="s">
        <v>51</v>
      </c>
      <c r="D88" s="2" t="s">
        <v>776</v>
      </c>
      <c r="E88" s="2" t="s">
        <v>681</v>
      </c>
      <c r="F88" s="2" t="s">
        <v>525</v>
      </c>
      <c r="G88" s="2" t="s">
        <v>345</v>
      </c>
      <c r="H88" s="2"/>
      <c r="I88" s="2" t="s">
        <v>777</v>
      </c>
      <c r="J88" s="3">
        <v>1</v>
      </c>
      <c r="K88" s="3">
        <v>-99</v>
      </c>
      <c r="L88" s="3" t="s">
        <v>1034</v>
      </c>
      <c r="M88" s="3">
        <v>79</v>
      </c>
      <c r="N88" s="3">
        <v>0</v>
      </c>
      <c r="O88" s="4" t="s">
        <v>155</v>
      </c>
      <c r="P88" s="4">
        <v>-77</v>
      </c>
      <c r="Q88" s="4">
        <v>0</v>
      </c>
      <c r="R88" s="4" t="s">
        <v>156</v>
      </c>
      <c r="S88" s="4">
        <v>-77</v>
      </c>
      <c r="T88" s="4" t="s">
        <v>162</v>
      </c>
      <c r="U88" s="4" t="s">
        <v>852</v>
      </c>
      <c r="V88" s="4">
        <v>-77</v>
      </c>
      <c r="W88" s="4">
        <v>1</v>
      </c>
      <c r="X88" s="4">
        <v>100</v>
      </c>
      <c r="Y88" s="4">
        <v>0</v>
      </c>
      <c r="Z88" s="4">
        <v>-77</v>
      </c>
      <c r="AA88" s="4" t="s">
        <v>1119</v>
      </c>
      <c r="AB88" s="4">
        <v>-77</v>
      </c>
      <c r="AC88" s="5">
        <v>4</v>
      </c>
      <c r="AD88" s="5">
        <v>2</v>
      </c>
      <c r="AE88" s="5">
        <v>2</v>
      </c>
      <c r="AF88" s="5">
        <v>-77</v>
      </c>
      <c r="AG88" s="5">
        <v>-77</v>
      </c>
      <c r="AH88" s="5">
        <v>-77</v>
      </c>
      <c r="AI88" s="5">
        <v>-77</v>
      </c>
      <c r="AJ88" s="5">
        <v>-77</v>
      </c>
      <c r="AK88" s="5">
        <v>-77</v>
      </c>
      <c r="AL88" s="5">
        <v>-77</v>
      </c>
      <c r="AM88" s="5">
        <v>-77</v>
      </c>
      <c r="AN88" s="5">
        <v>-77</v>
      </c>
      <c r="AO88" s="5">
        <v>-77</v>
      </c>
      <c r="AP88" s="5">
        <v>-77</v>
      </c>
      <c r="AQ88" s="5">
        <v>-77</v>
      </c>
      <c r="AR88" s="5">
        <v>-77</v>
      </c>
      <c r="AS88" s="5">
        <v>-77</v>
      </c>
      <c r="AT88" s="5">
        <v>-77</v>
      </c>
      <c r="AU88" s="5">
        <v>-99</v>
      </c>
      <c r="AV88" s="5">
        <v>-77</v>
      </c>
      <c r="AW88" s="6">
        <v>5</v>
      </c>
      <c r="AX88" s="6">
        <v>20</v>
      </c>
      <c r="AY88" s="6">
        <v>3</v>
      </c>
      <c r="AZ88" s="6" t="s">
        <v>937</v>
      </c>
      <c r="BA88" s="7" t="s">
        <v>853</v>
      </c>
    </row>
    <row r="89" spans="1:53" x14ac:dyDescent="0.25">
      <c r="A89" s="14" t="s">
        <v>778</v>
      </c>
      <c r="B89" s="2" t="s">
        <v>779</v>
      </c>
      <c r="C89" s="2" t="s">
        <v>94</v>
      </c>
      <c r="D89" s="2" t="s">
        <v>780</v>
      </c>
      <c r="E89" s="2" t="s">
        <v>65</v>
      </c>
      <c r="F89" s="2" t="s">
        <v>781</v>
      </c>
      <c r="G89" s="2" t="s">
        <v>83</v>
      </c>
      <c r="H89" s="2" t="s">
        <v>782</v>
      </c>
      <c r="I89" s="2" t="s">
        <v>783</v>
      </c>
      <c r="J89" s="3">
        <v>1</v>
      </c>
      <c r="K89" s="3">
        <v>-99</v>
      </c>
      <c r="L89" s="3" t="s">
        <v>1035</v>
      </c>
      <c r="M89" s="3">
        <f>26+28+11</f>
        <v>65</v>
      </c>
      <c r="N89" s="3">
        <v>0</v>
      </c>
      <c r="O89" s="4" t="s">
        <v>155</v>
      </c>
      <c r="P89" s="4">
        <v>-77</v>
      </c>
      <c r="Q89" s="4">
        <v>0</v>
      </c>
      <c r="R89" s="4">
        <v>-77</v>
      </c>
      <c r="S89" s="4">
        <v>-77</v>
      </c>
      <c r="T89" s="4">
        <v>-77</v>
      </c>
      <c r="U89" s="4">
        <v>-77</v>
      </c>
      <c r="V89" s="4">
        <v>-77</v>
      </c>
      <c r="W89" s="4">
        <v>-77</v>
      </c>
      <c r="X89" s="4">
        <v>100</v>
      </c>
      <c r="Y89" s="4">
        <v>0</v>
      </c>
      <c r="Z89" s="4">
        <v>-77</v>
      </c>
      <c r="AA89" s="4" t="s">
        <v>1126</v>
      </c>
      <c r="AB89" s="4">
        <v>-77</v>
      </c>
      <c r="AC89" s="5">
        <v>-77</v>
      </c>
      <c r="AD89" s="5">
        <v>-77</v>
      </c>
      <c r="AE89" s="5">
        <v>-77</v>
      </c>
      <c r="AF89" s="5">
        <v>-77</v>
      </c>
      <c r="AG89" s="5">
        <v>-77</v>
      </c>
      <c r="AH89" s="5">
        <v>-77</v>
      </c>
      <c r="AI89" s="5">
        <v>-77</v>
      </c>
      <c r="AJ89" s="5">
        <v>-77</v>
      </c>
      <c r="AK89" s="5">
        <v>-77</v>
      </c>
      <c r="AL89" s="5">
        <v>-77</v>
      </c>
      <c r="AM89" s="5">
        <v>-77</v>
      </c>
      <c r="AN89" s="5">
        <v>-77</v>
      </c>
      <c r="AO89" s="5">
        <v>-77</v>
      </c>
      <c r="AP89" s="5">
        <v>-77</v>
      </c>
      <c r="AQ89" s="5">
        <v>-77</v>
      </c>
      <c r="AR89" s="5">
        <v>-77</v>
      </c>
      <c r="AS89" s="5">
        <v>-77</v>
      </c>
      <c r="AT89" s="5">
        <v>-77</v>
      </c>
      <c r="AU89" s="5">
        <v>-99</v>
      </c>
      <c r="AV89" s="5">
        <v>-77</v>
      </c>
      <c r="AW89" s="6">
        <v>-99</v>
      </c>
      <c r="AX89" s="6">
        <v>-99</v>
      </c>
      <c r="AY89" s="6">
        <v>1</v>
      </c>
      <c r="AZ89" s="6" t="s">
        <v>160</v>
      </c>
      <c r="BA89" s="7">
        <v>-99</v>
      </c>
    </row>
    <row r="90" spans="1:53" x14ac:dyDescent="0.25">
      <c r="A90" s="14" t="s">
        <v>784</v>
      </c>
      <c r="B90" s="2" t="s">
        <v>785</v>
      </c>
      <c r="C90" s="2" t="s">
        <v>108</v>
      </c>
      <c r="D90" s="2" t="s">
        <v>786</v>
      </c>
      <c r="E90" s="2" t="s">
        <v>56</v>
      </c>
      <c r="F90" s="2" t="s">
        <v>765</v>
      </c>
      <c r="G90" s="2" t="s">
        <v>58</v>
      </c>
      <c r="H90" s="2" t="s">
        <v>787</v>
      </c>
      <c r="I90" s="2" t="s">
        <v>788</v>
      </c>
      <c r="J90" s="3">
        <v>1</v>
      </c>
      <c r="K90" s="3">
        <v>-99</v>
      </c>
      <c r="L90" s="3" t="s">
        <v>1036</v>
      </c>
      <c r="M90" s="3">
        <f>21+58</f>
        <v>79</v>
      </c>
      <c r="N90" s="3">
        <v>0</v>
      </c>
      <c r="O90" s="4" t="s">
        <v>879</v>
      </c>
      <c r="P90" s="4">
        <v>-77</v>
      </c>
      <c r="Q90" s="4">
        <v>0</v>
      </c>
      <c r="R90" s="4" t="s">
        <v>156</v>
      </c>
      <c r="S90" s="4">
        <v>-77</v>
      </c>
      <c r="T90" s="4" t="s">
        <v>162</v>
      </c>
      <c r="U90" s="4" t="s">
        <v>854</v>
      </c>
      <c r="V90" s="4" t="s">
        <v>865</v>
      </c>
      <c r="W90" s="4">
        <v>-77</v>
      </c>
      <c r="X90" s="4">
        <v>100</v>
      </c>
      <c r="Y90" s="4">
        <v>0</v>
      </c>
      <c r="Z90" s="4">
        <v>-77</v>
      </c>
      <c r="AA90" s="4" t="s">
        <v>1127</v>
      </c>
      <c r="AB90" s="4">
        <v>0</v>
      </c>
      <c r="AC90" s="5">
        <v>4</v>
      </c>
      <c r="AD90" s="5">
        <v>2</v>
      </c>
      <c r="AE90" s="5">
        <v>2</v>
      </c>
      <c r="AF90" s="5">
        <v>-77</v>
      </c>
      <c r="AG90" s="5">
        <v>-77</v>
      </c>
      <c r="AH90" s="5">
        <v>-77</v>
      </c>
      <c r="AI90" s="5">
        <v>-77</v>
      </c>
      <c r="AJ90" s="5">
        <v>-77</v>
      </c>
      <c r="AK90" s="5">
        <v>-77</v>
      </c>
      <c r="AL90" s="5">
        <v>-77</v>
      </c>
      <c r="AM90" s="5">
        <v>-77</v>
      </c>
      <c r="AN90" s="5">
        <v>-77</v>
      </c>
      <c r="AO90" s="5">
        <v>-77</v>
      </c>
      <c r="AP90" s="5">
        <v>-77</v>
      </c>
      <c r="AQ90" s="5">
        <v>-77</v>
      </c>
      <c r="AR90" s="5">
        <v>-77</v>
      </c>
      <c r="AS90" s="5">
        <v>-77</v>
      </c>
      <c r="AT90" s="5">
        <v>-77</v>
      </c>
      <c r="AU90" s="5">
        <v>-99</v>
      </c>
      <c r="AV90" s="5">
        <v>0</v>
      </c>
      <c r="AW90" s="6">
        <v>5</v>
      </c>
      <c r="AX90" s="6">
        <v>20</v>
      </c>
      <c r="AY90" s="6">
        <v>6</v>
      </c>
      <c r="AZ90" s="6" t="s">
        <v>938</v>
      </c>
      <c r="BA90" s="7">
        <v>-99</v>
      </c>
    </row>
    <row r="91" spans="1:53" x14ac:dyDescent="0.25">
      <c r="A91" s="14" t="s">
        <v>789</v>
      </c>
      <c r="B91" s="2" t="s">
        <v>790</v>
      </c>
      <c r="C91" s="2" t="s">
        <v>207</v>
      </c>
      <c r="D91" s="2" t="s">
        <v>791</v>
      </c>
      <c r="E91" s="2" t="s">
        <v>792</v>
      </c>
      <c r="F91" s="2" t="s">
        <v>50</v>
      </c>
      <c r="G91" s="2"/>
      <c r="H91" s="2"/>
      <c r="I91" s="2" t="s">
        <v>793</v>
      </c>
      <c r="J91" s="3">
        <v>1</v>
      </c>
      <c r="K91" s="3">
        <v>-99</v>
      </c>
      <c r="L91" s="3" t="s">
        <v>1043</v>
      </c>
      <c r="M91" s="3">
        <v>111</v>
      </c>
      <c r="N91" s="3">
        <v>0</v>
      </c>
      <c r="O91" s="4" t="s">
        <v>155</v>
      </c>
      <c r="P91" s="4">
        <v>-77</v>
      </c>
      <c r="Q91" s="4">
        <v>0</v>
      </c>
      <c r="R91" s="4" t="s">
        <v>156</v>
      </c>
      <c r="S91" s="4" t="s">
        <v>593</v>
      </c>
      <c r="T91" s="4" t="s">
        <v>410</v>
      </c>
      <c r="U91" s="4">
        <v>-77</v>
      </c>
      <c r="V91" s="4" t="s">
        <v>855</v>
      </c>
      <c r="W91" s="4">
        <v>0</v>
      </c>
      <c r="X91" s="4">
        <v>100</v>
      </c>
      <c r="Y91" s="4">
        <v>0</v>
      </c>
      <c r="Z91" s="4">
        <v>-77</v>
      </c>
      <c r="AA91" s="4" t="s">
        <v>1128</v>
      </c>
      <c r="AB91" s="4">
        <v>0</v>
      </c>
      <c r="AC91" s="5">
        <v>4</v>
      </c>
      <c r="AD91" s="5">
        <v>2</v>
      </c>
      <c r="AE91" s="5">
        <v>2</v>
      </c>
      <c r="AF91" s="5">
        <v>-77</v>
      </c>
      <c r="AG91" s="5">
        <v>-77</v>
      </c>
      <c r="AH91" s="5">
        <v>-77</v>
      </c>
      <c r="AI91" s="5">
        <v>-77</v>
      </c>
      <c r="AJ91" s="5">
        <v>-77</v>
      </c>
      <c r="AK91" s="5">
        <v>-77</v>
      </c>
      <c r="AL91" s="5">
        <v>-77</v>
      </c>
      <c r="AM91" s="5">
        <v>-77</v>
      </c>
      <c r="AN91" s="5">
        <v>-77</v>
      </c>
      <c r="AO91" s="5">
        <v>-77</v>
      </c>
      <c r="AP91" s="5">
        <v>-77</v>
      </c>
      <c r="AQ91" s="5">
        <v>-77</v>
      </c>
      <c r="AR91" s="5">
        <v>-77</v>
      </c>
      <c r="AS91" s="5">
        <v>-77</v>
      </c>
      <c r="AT91" s="5">
        <v>-77</v>
      </c>
      <c r="AU91" s="5">
        <v>-99</v>
      </c>
      <c r="AV91" s="5">
        <v>0</v>
      </c>
      <c r="AW91" s="6">
        <v>5</v>
      </c>
      <c r="AX91" s="6">
        <v>20</v>
      </c>
      <c r="AY91" s="6">
        <v>3</v>
      </c>
      <c r="AZ91" s="6" t="s">
        <v>939</v>
      </c>
      <c r="BA91" s="7">
        <v>-99</v>
      </c>
    </row>
    <row r="92" spans="1:53" x14ac:dyDescent="0.25">
      <c r="A92" s="14" t="s">
        <v>794</v>
      </c>
      <c r="B92" s="2" t="s">
        <v>795</v>
      </c>
      <c r="C92" s="2" t="s">
        <v>54</v>
      </c>
      <c r="D92" s="2" t="s">
        <v>796</v>
      </c>
      <c r="E92" s="2" t="s">
        <v>797</v>
      </c>
      <c r="F92" s="2" t="s">
        <v>119</v>
      </c>
      <c r="G92" s="2" t="s">
        <v>80</v>
      </c>
      <c r="H92" s="2" t="s">
        <v>798</v>
      </c>
      <c r="I92" s="2" t="s">
        <v>799</v>
      </c>
      <c r="J92" s="3">
        <v>1</v>
      </c>
      <c r="K92" s="3">
        <v>-99</v>
      </c>
      <c r="L92" s="3" t="s">
        <v>974</v>
      </c>
      <c r="M92" s="3">
        <v>27</v>
      </c>
      <c r="N92" s="3">
        <v>0</v>
      </c>
      <c r="O92" s="4" t="s">
        <v>292</v>
      </c>
      <c r="P92" s="4" t="s">
        <v>962</v>
      </c>
      <c r="Q92" s="4">
        <v>0</v>
      </c>
      <c r="R92" s="4" t="s">
        <v>751</v>
      </c>
      <c r="S92" s="4" t="s">
        <v>856</v>
      </c>
      <c r="T92" s="4" t="s">
        <v>410</v>
      </c>
      <c r="U92" s="4" t="s">
        <v>1046</v>
      </c>
      <c r="V92" s="4" t="s">
        <v>857</v>
      </c>
      <c r="W92" s="4">
        <v>1</v>
      </c>
      <c r="X92" s="4">
        <v>100</v>
      </c>
      <c r="Y92" s="4" t="s">
        <v>861</v>
      </c>
      <c r="Z92" s="4" t="s">
        <v>729</v>
      </c>
      <c r="AA92" s="4" t="s">
        <v>1129</v>
      </c>
      <c r="AB92" s="4">
        <v>1</v>
      </c>
      <c r="AC92" s="5">
        <v>4</v>
      </c>
      <c r="AD92" s="5">
        <v>2</v>
      </c>
      <c r="AE92" s="5">
        <v>2</v>
      </c>
      <c r="AF92" s="5">
        <v>-77</v>
      </c>
      <c r="AG92" s="5" t="s">
        <v>858</v>
      </c>
      <c r="AH92" s="5" t="s">
        <v>748</v>
      </c>
      <c r="AI92" s="5" t="s">
        <v>859</v>
      </c>
      <c r="AJ92" s="5" t="s">
        <v>859</v>
      </c>
      <c r="AK92" s="5" t="s">
        <v>859</v>
      </c>
      <c r="AL92" s="5" t="s">
        <v>859</v>
      </c>
      <c r="AM92" s="5">
        <v>10</v>
      </c>
      <c r="AN92" s="5">
        <v>10</v>
      </c>
      <c r="AO92" s="5">
        <v>10</v>
      </c>
      <c r="AP92" s="5">
        <v>10</v>
      </c>
      <c r="AQ92" s="16">
        <v>0.5</v>
      </c>
      <c r="AR92" s="16">
        <v>0.1</v>
      </c>
      <c r="AS92" s="16">
        <v>0.5</v>
      </c>
      <c r="AT92" s="16">
        <v>0.1</v>
      </c>
      <c r="AU92" s="5" t="s">
        <v>860</v>
      </c>
      <c r="AV92" s="5">
        <v>0</v>
      </c>
      <c r="AW92" s="6">
        <v>5</v>
      </c>
      <c r="AX92" s="6">
        <v>20</v>
      </c>
      <c r="AY92" s="6">
        <v>3</v>
      </c>
      <c r="AZ92" s="6" t="s">
        <v>940</v>
      </c>
      <c r="BA92" s="7" t="s">
        <v>862</v>
      </c>
    </row>
    <row r="93" spans="1:53" x14ac:dyDescent="0.25">
      <c r="A93" s="14" t="s">
        <v>800</v>
      </c>
      <c r="B93" s="2" t="s">
        <v>801</v>
      </c>
      <c r="C93" s="2" t="s">
        <v>54</v>
      </c>
      <c r="D93" s="2" t="s">
        <v>802</v>
      </c>
      <c r="E93" s="2" t="s">
        <v>803</v>
      </c>
      <c r="F93" s="2" t="s">
        <v>804</v>
      </c>
      <c r="G93" s="2" t="s">
        <v>345</v>
      </c>
      <c r="H93" s="2" t="s">
        <v>805</v>
      </c>
      <c r="I93" s="2" t="s">
        <v>806</v>
      </c>
      <c r="J93" s="3">
        <v>1</v>
      </c>
      <c r="K93" s="3">
        <v>-99</v>
      </c>
      <c r="L93" s="3" t="s">
        <v>1037</v>
      </c>
      <c r="M93" s="3">
        <v>89</v>
      </c>
      <c r="N93" s="3">
        <v>0</v>
      </c>
      <c r="O93" s="4" t="s">
        <v>155</v>
      </c>
      <c r="P93" s="4">
        <v>-77</v>
      </c>
      <c r="Q93" s="4">
        <v>0</v>
      </c>
      <c r="R93" s="4" t="s">
        <v>156</v>
      </c>
      <c r="S93" s="4">
        <v>-77</v>
      </c>
      <c r="T93" s="4" t="s">
        <v>410</v>
      </c>
      <c r="U93" s="4">
        <v>-77</v>
      </c>
      <c r="V93" s="4">
        <v>-77</v>
      </c>
      <c r="W93" s="4">
        <v>-77</v>
      </c>
      <c r="X93" s="4">
        <v>100</v>
      </c>
      <c r="Y93" s="4">
        <v>0</v>
      </c>
      <c r="Z93" s="4">
        <v>-77</v>
      </c>
      <c r="AA93" s="4" t="s">
        <v>1130</v>
      </c>
      <c r="AB93" s="4">
        <v>-77</v>
      </c>
      <c r="AC93" s="5">
        <v>4</v>
      </c>
      <c r="AD93" s="5">
        <v>2</v>
      </c>
      <c r="AE93" s="5">
        <v>2</v>
      </c>
      <c r="AF93" s="5">
        <v>-77</v>
      </c>
      <c r="AG93" s="5">
        <v>-77</v>
      </c>
      <c r="AH93" s="5">
        <v>-77</v>
      </c>
      <c r="AI93" s="5">
        <v>-77</v>
      </c>
      <c r="AJ93" s="5">
        <v>-77</v>
      </c>
      <c r="AK93" s="5">
        <v>-77</v>
      </c>
      <c r="AL93" s="5">
        <v>-77</v>
      </c>
      <c r="AM93" s="5">
        <v>-77</v>
      </c>
      <c r="AN93" s="5">
        <v>-77</v>
      </c>
      <c r="AO93" s="5">
        <v>-77</v>
      </c>
      <c r="AP93" s="5">
        <v>-77</v>
      </c>
      <c r="AQ93" s="5">
        <v>-77</v>
      </c>
      <c r="AR93" s="5">
        <v>-77</v>
      </c>
      <c r="AS93" s="5">
        <v>-77</v>
      </c>
      <c r="AT93" s="5">
        <v>-77</v>
      </c>
      <c r="AU93" s="5">
        <v>-99</v>
      </c>
      <c r="AV93" s="5">
        <v>-77</v>
      </c>
      <c r="AW93" s="6">
        <v>5</v>
      </c>
      <c r="AX93" s="6">
        <v>20</v>
      </c>
      <c r="AY93" s="6">
        <v>2</v>
      </c>
      <c r="AZ93" s="6" t="s">
        <v>927</v>
      </c>
      <c r="BA93" s="7">
        <v>-99</v>
      </c>
    </row>
    <row r="94" spans="1:53" x14ac:dyDescent="0.25">
      <c r="A94" s="14" t="s">
        <v>807</v>
      </c>
      <c r="B94" s="2" t="s">
        <v>808</v>
      </c>
      <c r="C94" s="2" t="s">
        <v>76</v>
      </c>
      <c r="D94" s="2" t="s">
        <v>809</v>
      </c>
      <c r="E94" s="2" t="s">
        <v>792</v>
      </c>
      <c r="F94" s="2" t="s">
        <v>189</v>
      </c>
      <c r="G94" s="2"/>
      <c r="H94" s="2"/>
      <c r="I94" s="2" t="s">
        <v>810</v>
      </c>
      <c r="J94" s="3">
        <v>1</v>
      </c>
      <c r="K94" s="3">
        <v>-99</v>
      </c>
      <c r="L94" s="3" t="s">
        <v>1005</v>
      </c>
      <c r="M94" s="3">
        <f>15+15</f>
        <v>30</v>
      </c>
      <c r="N94" s="3">
        <v>0</v>
      </c>
      <c r="O94" s="4" t="s">
        <v>155</v>
      </c>
      <c r="P94" s="4" t="s">
        <v>960</v>
      </c>
      <c r="Q94" s="4">
        <v>0</v>
      </c>
      <c r="R94" s="4" t="s">
        <v>156</v>
      </c>
      <c r="S94" s="4" t="s">
        <v>593</v>
      </c>
      <c r="T94" s="4" t="s">
        <v>605</v>
      </c>
      <c r="U94" s="4" t="s">
        <v>863</v>
      </c>
      <c r="V94" s="4" t="s">
        <v>864</v>
      </c>
      <c r="W94" s="4">
        <v>-77</v>
      </c>
      <c r="X94" s="4">
        <v>100</v>
      </c>
      <c r="Y94" s="4">
        <v>0</v>
      </c>
      <c r="Z94" s="4">
        <v>-77</v>
      </c>
      <c r="AA94" s="4" t="s">
        <v>1131</v>
      </c>
      <c r="AB94" s="4">
        <v>-77</v>
      </c>
      <c r="AC94" s="5">
        <v>4</v>
      </c>
      <c r="AD94" s="5">
        <v>2</v>
      </c>
      <c r="AE94" s="5">
        <v>2</v>
      </c>
      <c r="AF94" s="5">
        <v>-77</v>
      </c>
      <c r="AG94" s="5">
        <v>-77</v>
      </c>
      <c r="AH94" s="5">
        <v>-77</v>
      </c>
      <c r="AI94" s="5" t="s">
        <v>178</v>
      </c>
      <c r="AJ94" s="5" t="s">
        <v>178</v>
      </c>
      <c r="AK94" s="5" t="s">
        <v>178</v>
      </c>
      <c r="AL94" s="5" t="s">
        <v>178</v>
      </c>
      <c r="AM94" s="5">
        <v>10</v>
      </c>
      <c r="AN94" s="5">
        <v>10</v>
      </c>
      <c r="AO94" s="5">
        <v>10</v>
      </c>
      <c r="AP94" s="5">
        <v>10</v>
      </c>
      <c r="AQ94" s="5">
        <v>-77</v>
      </c>
      <c r="AR94" s="5">
        <v>-77</v>
      </c>
      <c r="AS94" s="5">
        <v>-77</v>
      </c>
      <c r="AT94" s="5">
        <v>-77</v>
      </c>
      <c r="AU94" s="5">
        <v>-99</v>
      </c>
      <c r="AV94" s="5">
        <v>-77</v>
      </c>
      <c r="AW94" s="6">
        <v>5</v>
      </c>
      <c r="AX94" s="6">
        <v>20</v>
      </c>
      <c r="AY94" s="6">
        <v>2</v>
      </c>
      <c r="AZ94" s="6" t="s">
        <v>896</v>
      </c>
      <c r="BA94" s="7">
        <v>-99</v>
      </c>
    </row>
    <row r="95" spans="1:53" x14ac:dyDescent="0.25">
      <c r="A95" s="14" t="s">
        <v>72</v>
      </c>
      <c r="B95" s="2" t="s">
        <v>811</v>
      </c>
      <c r="C95" s="2" t="s">
        <v>51</v>
      </c>
      <c r="D95" s="2" t="s">
        <v>812</v>
      </c>
      <c r="E95" s="2" t="s">
        <v>813</v>
      </c>
      <c r="F95" s="2" t="s">
        <v>814</v>
      </c>
      <c r="G95" s="2" t="s">
        <v>345</v>
      </c>
      <c r="H95" s="2" t="s">
        <v>815</v>
      </c>
      <c r="I95" s="2" t="s">
        <v>816</v>
      </c>
      <c r="J95" s="3">
        <v>1</v>
      </c>
      <c r="K95" s="3">
        <v>-99</v>
      </c>
      <c r="L95" s="3" t="s">
        <v>979</v>
      </c>
      <c r="M95" s="3">
        <v>165</v>
      </c>
      <c r="N95" s="3">
        <v>0</v>
      </c>
      <c r="O95" s="4" t="s">
        <v>155</v>
      </c>
      <c r="P95" s="4">
        <v>-77</v>
      </c>
      <c r="Q95" s="4">
        <v>0</v>
      </c>
      <c r="R95" s="4" t="s">
        <v>156</v>
      </c>
      <c r="S95" s="4">
        <v>-77</v>
      </c>
      <c r="T95" s="4" t="s">
        <v>866</v>
      </c>
      <c r="U95" s="4">
        <v>-77</v>
      </c>
      <c r="V95" s="4">
        <v>-77</v>
      </c>
      <c r="W95" s="4">
        <v>0</v>
      </c>
      <c r="X95" s="4">
        <v>100</v>
      </c>
      <c r="Y95" s="4">
        <v>0</v>
      </c>
      <c r="Z95" s="4">
        <v>-77</v>
      </c>
      <c r="AA95" s="4" t="s">
        <v>1131</v>
      </c>
      <c r="AB95" s="4">
        <v>-77</v>
      </c>
      <c r="AC95" s="5">
        <v>4</v>
      </c>
      <c r="AD95" s="5">
        <v>2</v>
      </c>
      <c r="AE95" s="5">
        <v>2</v>
      </c>
      <c r="AF95" s="5">
        <v>-77</v>
      </c>
      <c r="AG95" s="5">
        <v>-77</v>
      </c>
      <c r="AH95" s="5">
        <v>-77</v>
      </c>
      <c r="AI95" s="5">
        <v>-77</v>
      </c>
      <c r="AJ95" s="5">
        <v>-77</v>
      </c>
      <c r="AK95" s="5">
        <v>-77</v>
      </c>
      <c r="AL95" s="5">
        <v>-77</v>
      </c>
      <c r="AM95" s="5">
        <v>-77</v>
      </c>
      <c r="AN95" s="5">
        <v>-77</v>
      </c>
      <c r="AO95" s="5">
        <v>-77</v>
      </c>
      <c r="AP95" s="5">
        <v>-77</v>
      </c>
      <c r="AQ95" s="5">
        <v>-77</v>
      </c>
      <c r="AR95" s="5">
        <v>-77</v>
      </c>
      <c r="AS95" s="5">
        <v>-77</v>
      </c>
      <c r="AT95" s="5">
        <v>-77</v>
      </c>
      <c r="AU95" s="5">
        <v>-99</v>
      </c>
      <c r="AV95" s="5">
        <v>-77</v>
      </c>
      <c r="AW95" s="6">
        <v>5</v>
      </c>
      <c r="AX95" s="6">
        <v>20</v>
      </c>
      <c r="AY95" s="6">
        <v>2</v>
      </c>
      <c r="AZ95" s="6" t="s">
        <v>896</v>
      </c>
      <c r="BA95" s="7">
        <v>-99</v>
      </c>
    </row>
    <row r="96" spans="1:53" x14ac:dyDescent="0.25">
      <c r="A96" s="14" t="s">
        <v>817</v>
      </c>
      <c r="B96" s="2" t="s">
        <v>818</v>
      </c>
      <c r="C96" s="2" t="s">
        <v>222</v>
      </c>
      <c r="D96" s="2" t="s">
        <v>819</v>
      </c>
      <c r="E96" s="2" t="s">
        <v>387</v>
      </c>
      <c r="F96" s="2" t="s">
        <v>820</v>
      </c>
      <c r="G96" s="2" t="s">
        <v>80</v>
      </c>
      <c r="H96" s="2" t="s">
        <v>821</v>
      </c>
      <c r="I96" s="2" t="s">
        <v>822</v>
      </c>
      <c r="J96" s="3">
        <v>1</v>
      </c>
      <c r="K96" s="3">
        <v>-99</v>
      </c>
      <c r="L96" s="3" t="s">
        <v>974</v>
      </c>
      <c r="M96" s="3">
        <v>221</v>
      </c>
      <c r="N96" s="3">
        <v>0</v>
      </c>
      <c r="O96" s="4" t="s">
        <v>155</v>
      </c>
      <c r="P96" s="4">
        <v>-77</v>
      </c>
      <c r="Q96" s="4">
        <v>0</v>
      </c>
      <c r="R96" s="4" t="s">
        <v>156</v>
      </c>
      <c r="S96" s="4">
        <v>-77</v>
      </c>
      <c r="T96" s="4">
        <v>-77</v>
      </c>
      <c r="U96" s="4">
        <v>-77</v>
      </c>
      <c r="V96" s="4">
        <v>-77</v>
      </c>
      <c r="W96" s="4">
        <v>0</v>
      </c>
      <c r="X96" s="4">
        <v>100</v>
      </c>
      <c r="Y96" s="4">
        <v>0</v>
      </c>
      <c r="Z96" s="4">
        <v>-77</v>
      </c>
      <c r="AA96" s="4" t="s">
        <v>1130</v>
      </c>
      <c r="AB96" s="4">
        <v>-77</v>
      </c>
      <c r="AC96" s="5">
        <v>4</v>
      </c>
      <c r="AD96" s="5">
        <v>2</v>
      </c>
      <c r="AE96" s="5">
        <v>2</v>
      </c>
      <c r="AF96" s="5">
        <v>-77</v>
      </c>
      <c r="AG96" s="5">
        <v>-77</v>
      </c>
      <c r="AH96" s="5">
        <v>-77</v>
      </c>
      <c r="AI96" s="5">
        <v>-77</v>
      </c>
      <c r="AJ96" s="5">
        <v>-77</v>
      </c>
      <c r="AK96" s="5">
        <v>-77</v>
      </c>
      <c r="AL96" s="5">
        <v>-77</v>
      </c>
      <c r="AM96" s="5">
        <v>-77</v>
      </c>
      <c r="AN96" s="5">
        <v>-77</v>
      </c>
      <c r="AO96" s="5">
        <v>-77</v>
      </c>
      <c r="AP96" s="5">
        <v>-77</v>
      </c>
      <c r="AQ96" s="5">
        <v>-77</v>
      </c>
      <c r="AR96" s="5">
        <v>-77</v>
      </c>
      <c r="AS96" s="5">
        <v>-77</v>
      </c>
      <c r="AT96" s="5">
        <v>-77</v>
      </c>
      <c r="AU96" s="5">
        <v>-99</v>
      </c>
      <c r="AV96" s="5">
        <v>-77</v>
      </c>
      <c r="AW96" s="6">
        <v>5</v>
      </c>
      <c r="AX96" s="6">
        <v>20</v>
      </c>
      <c r="AY96" s="6">
        <v>2</v>
      </c>
      <c r="AZ96" s="6" t="s">
        <v>941</v>
      </c>
      <c r="BA96" s="7">
        <v>-99</v>
      </c>
    </row>
    <row r="97" spans="1:53" x14ac:dyDescent="0.25">
      <c r="A97" s="14" t="s">
        <v>823</v>
      </c>
      <c r="B97" s="2" t="s">
        <v>824</v>
      </c>
      <c r="C97" s="2" t="s">
        <v>54</v>
      </c>
      <c r="D97" s="2" t="s">
        <v>825</v>
      </c>
      <c r="E97" s="2" t="s">
        <v>351</v>
      </c>
      <c r="F97" s="2" t="s">
        <v>765</v>
      </c>
      <c r="G97" s="2" t="s">
        <v>58</v>
      </c>
      <c r="H97" s="2" t="s">
        <v>826</v>
      </c>
      <c r="I97" s="2" t="s">
        <v>827</v>
      </c>
      <c r="J97" s="3">
        <v>1</v>
      </c>
      <c r="K97" s="3">
        <v>-99</v>
      </c>
      <c r="L97" s="3" t="s">
        <v>979</v>
      </c>
      <c r="M97" s="3">
        <v>58</v>
      </c>
      <c r="N97" s="3">
        <v>0</v>
      </c>
      <c r="O97" s="4" t="s">
        <v>741</v>
      </c>
      <c r="P97" s="4" t="s">
        <v>957</v>
      </c>
      <c r="Q97" s="4">
        <v>0</v>
      </c>
      <c r="R97" s="4">
        <v>-77</v>
      </c>
      <c r="S97" s="4">
        <v>-77</v>
      </c>
      <c r="T97" s="4">
        <v>-77</v>
      </c>
      <c r="U97" s="4">
        <v>-77</v>
      </c>
      <c r="V97" s="4">
        <v>-77</v>
      </c>
      <c r="W97" s="4">
        <v>0</v>
      </c>
      <c r="X97" s="4">
        <v>100</v>
      </c>
      <c r="Y97" s="4">
        <v>0</v>
      </c>
      <c r="Z97" s="4">
        <v>-77</v>
      </c>
      <c r="AA97" s="4" t="s">
        <v>1063</v>
      </c>
      <c r="AB97" s="4">
        <v>1</v>
      </c>
      <c r="AC97" s="5">
        <v>-77</v>
      </c>
      <c r="AD97" s="5">
        <v>-77</v>
      </c>
      <c r="AE97" s="5">
        <v>-77</v>
      </c>
      <c r="AF97" s="5">
        <v>-77</v>
      </c>
      <c r="AG97" s="5">
        <v>-77</v>
      </c>
      <c r="AH97" s="5">
        <v>-77</v>
      </c>
      <c r="AI97" s="5">
        <v>-77</v>
      </c>
      <c r="AJ97" s="5">
        <v>-77</v>
      </c>
      <c r="AK97" s="5">
        <v>-77</v>
      </c>
      <c r="AL97" s="5">
        <v>-77</v>
      </c>
      <c r="AM97" s="5">
        <v>-77</v>
      </c>
      <c r="AN97" s="5">
        <v>-77</v>
      </c>
      <c r="AO97" s="5">
        <v>-77</v>
      </c>
      <c r="AP97" s="5">
        <v>-77</v>
      </c>
      <c r="AQ97" s="5">
        <v>-77</v>
      </c>
      <c r="AR97" s="5">
        <v>-77</v>
      </c>
      <c r="AS97" s="5">
        <v>-77</v>
      </c>
      <c r="AT97" s="5">
        <v>-77</v>
      </c>
      <c r="AU97" s="5" t="s">
        <v>1056</v>
      </c>
      <c r="AV97" s="5">
        <v>-77</v>
      </c>
      <c r="AW97" s="6">
        <v>-99</v>
      </c>
      <c r="AX97" s="6">
        <v>-99</v>
      </c>
      <c r="AY97" s="6">
        <v>1</v>
      </c>
      <c r="AZ97" s="6" t="s">
        <v>160</v>
      </c>
      <c r="BA97" s="7">
        <v>-99</v>
      </c>
    </row>
    <row r="98" spans="1:53" x14ac:dyDescent="0.25">
      <c r="A98" s="14" t="s">
        <v>828</v>
      </c>
      <c r="B98" s="2" t="s">
        <v>829</v>
      </c>
      <c r="C98" s="2" t="s">
        <v>70</v>
      </c>
      <c r="D98" s="2" t="s">
        <v>830</v>
      </c>
      <c r="E98" s="2" t="s">
        <v>831</v>
      </c>
      <c r="F98" s="2" t="s">
        <v>765</v>
      </c>
      <c r="G98" s="2" t="s">
        <v>525</v>
      </c>
      <c r="H98" s="2" t="s">
        <v>832</v>
      </c>
      <c r="I98" s="2" t="s">
        <v>833</v>
      </c>
      <c r="J98" s="3">
        <v>1</v>
      </c>
      <c r="K98" s="3">
        <v>-99</v>
      </c>
      <c r="L98" s="3" t="s">
        <v>1038</v>
      </c>
      <c r="M98" s="3">
        <v>37</v>
      </c>
      <c r="N98" s="3">
        <v>0</v>
      </c>
      <c r="O98" s="4" t="s">
        <v>885</v>
      </c>
      <c r="P98" s="4">
        <v>-77</v>
      </c>
      <c r="Q98" s="4">
        <v>0</v>
      </c>
      <c r="R98" s="4" t="s">
        <v>156</v>
      </c>
      <c r="S98" s="4">
        <v>-77</v>
      </c>
      <c r="T98" s="4" t="s">
        <v>867</v>
      </c>
      <c r="U98" s="4">
        <v>-77</v>
      </c>
      <c r="V98" s="4">
        <v>-77</v>
      </c>
      <c r="W98" s="4">
        <v>1</v>
      </c>
      <c r="X98" s="4">
        <v>80</v>
      </c>
      <c r="Y98" s="4">
        <v>12</v>
      </c>
      <c r="Z98" s="4" t="s">
        <v>870</v>
      </c>
      <c r="AA98" s="4" t="s">
        <v>868</v>
      </c>
      <c r="AB98" s="4">
        <v>1</v>
      </c>
      <c r="AC98" s="5">
        <v>4</v>
      </c>
      <c r="AD98" s="5">
        <v>2</v>
      </c>
      <c r="AE98" s="5">
        <v>2</v>
      </c>
      <c r="AF98" s="5">
        <v>-77</v>
      </c>
      <c r="AG98" s="5">
        <v>-55</v>
      </c>
      <c r="AH98" s="5">
        <v>-55</v>
      </c>
      <c r="AI98" s="5">
        <v>-77</v>
      </c>
      <c r="AJ98" s="5">
        <v>-77</v>
      </c>
      <c r="AK98" s="5">
        <v>-77</v>
      </c>
      <c r="AL98" s="5">
        <v>-77</v>
      </c>
      <c r="AM98" s="5">
        <v>-77</v>
      </c>
      <c r="AN98" s="5">
        <v>-77</v>
      </c>
      <c r="AO98" s="5">
        <v>-77</v>
      </c>
      <c r="AP98" s="5">
        <v>-77</v>
      </c>
      <c r="AQ98" s="16">
        <v>0.5</v>
      </c>
      <c r="AR98" s="16">
        <v>0.5</v>
      </c>
      <c r="AS98" s="16">
        <v>0.5</v>
      </c>
      <c r="AT98" s="16">
        <v>0.5</v>
      </c>
      <c r="AU98" s="5" t="s">
        <v>868</v>
      </c>
      <c r="AV98" s="5">
        <v>1</v>
      </c>
      <c r="AW98" s="6">
        <v>4</v>
      </c>
      <c r="AX98" s="6">
        <v>20</v>
      </c>
      <c r="AY98" s="6">
        <v>1</v>
      </c>
      <c r="AZ98" s="6" t="s">
        <v>942</v>
      </c>
      <c r="BA98" s="7" t="s">
        <v>869</v>
      </c>
    </row>
    <row r="99" spans="1:53" x14ac:dyDescent="0.25">
      <c r="A99" s="14" t="s">
        <v>834</v>
      </c>
      <c r="B99" s="2" t="s">
        <v>835</v>
      </c>
      <c r="C99" s="2" t="s">
        <v>54</v>
      </c>
      <c r="D99" s="2" t="s">
        <v>836</v>
      </c>
      <c r="E99" s="2" t="s">
        <v>144</v>
      </c>
      <c r="F99" s="2" t="s">
        <v>837</v>
      </c>
      <c r="G99" s="2" t="s">
        <v>345</v>
      </c>
      <c r="H99" s="2" t="s">
        <v>838</v>
      </c>
      <c r="I99" s="2" t="s">
        <v>839</v>
      </c>
      <c r="J99" s="3">
        <v>1</v>
      </c>
      <c r="K99" s="3">
        <v>-99</v>
      </c>
      <c r="L99" s="3" t="s">
        <v>974</v>
      </c>
      <c r="M99" s="3">
        <v>572</v>
      </c>
      <c r="N99" s="3">
        <v>0</v>
      </c>
      <c r="O99" s="4" t="s">
        <v>880</v>
      </c>
      <c r="P99" s="4">
        <v>-77</v>
      </c>
      <c r="Q99" s="4">
        <v>0</v>
      </c>
      <c r="R99" s="4" t="s">
        <v>156</v>
      </c>
      <c r="S99" s="4" t="s">
        <v>873</v>
      </c>
      <c r="T99" s="4">
        <v>-77</v>
      </c>
      <c r="U99" s="4" t="s">
        <v>872</v>
      </c>
      <c r="V99" s="4" t="s">
        <v>874</v>
      </c>
      <c r="W99" s="4">
        <v>1</v>
      </c>
      <c r="X99" s="4">
        <v>100</v>
      </c>
      <c r="Y99" s="4">
        <v>0</v>
      </c>
      <c r="Z99" s="4">
        <v>-77</v>
      </c>
      <c r="AA99" s="4" t="s">
        <v>1132</v>
      </c>
      <c r="AB99" s="4">
        <v>-77</v>
      </c>
      <c r="AC99" s="5">
        <v>4</v>
      </c>
      <c r="AD99" s="5">
        <v>2</v>
      </c>
      <c r="AE99" s="5">
        <v>2</v>
      </c>
      <c r="AF99" s="5">
        <v>-77</v>
      </c>
      <c r="AG99" s="5">
        <v>-77</v>
      </c>
      <c r="AH99" s="5">
        <v>-77</v>
      </c>
      <c r="AI99" s="5" t="s">
        <v>871</v>
      </c>
      <c r="AJ99" s="5" t="s">
        <v>871</v>
      </c>
      <c r="AK99" s="5" t="s">
        <v>871</v>
      </c>
      <c r="AL99" s="5" t="s">
        <v>871</v>
      </c>
      <c r="AM99" s="5">
        <v>10</v>
      </c>
      <c r="AN99" s="5">
        <v>10</v>
      </c>
      <c r="AO99" s="5">
        <v>10</v>
      </c>
      <c r="AP99" s="5">
        <v>10</v>
      </c>
      <c r="AQ99" s="5">
        <v>-77</v>
      </c>
      <c r="AR99" s="5">
        <v>-77</v>
      </c>
      <c r="AS99" s="5">
        <v>-77</v>
      </c>
      <c r="AT99" s="5">
        <v>-77</v>
      </c>
      <c r="AU99" s="5">
        <v>-99</v>
      </c>
      <c r="AV99" s="5">
        <v>-77</v>
      </c>
      <c r="AW99" s="6">
        <v>5</v>
      </c>
      <c r="AX99" s="6">
        <v>20</v>
      </c>
      <c r="AY99" s="6">
        <v>3</v>
      </c>
      <c r="AZ99" s="6" t="s">
        <v>919</v>
      </c>
      <c r="BA99" s="7">
        <v>-99</v>
      </c>
    </row>
    <row r="100" spans="1:53" x14ac:dyDescent="0.25">
      <c r="A100" s="14" t="s">
        <v>840</v>
      </c>
      <c r="B100" s="2" t="s">
        <v>841</v>
      </c>
      <c r="C100" s="2" t="s">
        <v>142</v>
      </c>
      <c r="D100" s="2" t="s">
        <v>842</v>
      </c>
      <c r="E100" s="2" t="s">
        <v>96</v>
      </c>
      <c r="F100" s="2" t="s">
        <v>477</v>
      </c>
      <c r="G100" s="2" t="s">
        <v>83</v>
      </c>
      <c r="H100" s="2" t="s">
        <v>843</v>
      </c>
      <c r="I100" s="2" t="s">
        <v>844</v>
      </c>
      <c r="J100" s="3">
        <v>1</v>
      </c>
      <c r="K100" s="3">
        <v>-99</v>
      </c>
      <c r="L100" s="3" t="s">
        <v>1039</v>
      </c>
      <c r="M100" s="3">
        <f>20+20</f>
        <v>40</v>
      </c>
      <c r="N100" s="3">
        <v>0</v>
      </c>
      <c r="O100" s="4" t="s">
        <v>945</v>
      </c>
      <c r="P100" s="4">
        <v>-77</v>
      </c>
      <c r="Q100" s="4">
        <v>0</v>
      </c>
      <c r="R100" s="4" t="s">
        <v>156</v>
      </c>
      <c r="S100" s="4" t="s">
        <v>593</v>
      </c>
      <c r="T100" s="4" t="s">
        <v>875</v>
      </c>
      <c r="U100" s="4" t="s">
        <v>876</v>
      </c>
      <c r="V100" s="4">
        <v>-77</v>
      </c>
      <c r="W100" s="4">
        <v>0</v>
      </c>
      <c r="X100" s="4">
        <v>100</v>
      </c>
      <c r="Y100" s="4">
        <v>0</v>
      </c>
      <c r="Z100" s="4">
        <v>-77</v>
      </c>
      <c r="AA100" s="4" t="s">
        <v>1133</v>
      </c>
      <c r="AB100" s="4">
        <v>0</v>
      </c>
      <c r="AC100" s="5">
        <v>4</v>
      </c>
      <c r="AD100" s="5">
        <v>2</v>
      </c>
      <c r="AE100" s="5">
        <v>2</v>
      </c>
      <c r="AF100" s="5">
        <v>-77</v>
      </c>
      <c r="AG100" s="5">
        <v>-77</v>
      </c>
      <c r="AH100" s="5">
        <v>-77</v>
      </c>
      <c r="AI100" s="5">
        <v>-77</v>
      </c>
      <c r="AJ100" s="5">
        <v>-77</v>
      </c>
      <c r="AK100" s="5">
        <v>-77</v>
      </c>
      <c r="AL100" s="5">
        <v>-77</v>
      </c>
      <c r="AM100" s="5">
        <v>-77</v>
      </c>
      <c r="AN100" s="5">
        <v>-77</v>
      </c>
      <c r="AO100" s="5">
        <v>-77</v>
      </c>
      <c r="AP100" s="5">
        <v>-77</v>
      </c>
      <c r="AQ100" s="5">
        <v>-77</v>
      </c>
      <c r="AR100" s="5">
        <v>-77</v>
      </c>
      <c r="AS100" s="5">
        <v>-77</v>
      </c>
      <c r="AT100" s="5">
        <v>-77</v>
      </c>
      <c r="AU100" s="5">
        <v>-99</v>
      </c>
      <c r="AV100" s="5">
        <v>-77</v>
      </c>
      <c r="AW100" s="6">
        <v>5</v>
      </c>
      <c r="AX100" s="6">
        <v>20</v>
      </c>
      <c r="AY100" s="6">
        <v>2</v>
      </c>
      <c r="AZ100" s="6" t="s">
        <v>896</v>
      </c>
      <c r="BA100" s="7">
        <v>-99</v>
      </c>
    </row>
    <row r="101" spans="1:53" x14ac:dyDescent="0.25">
      <c r="A101" s="14" t="s">
        <v>845</v>
      </c>
      <c r="B101" s="2" t="s">
        <v>846</v>
      </c>
      <c r="C101" s="2" t="s">
        <v>150</v>
      </c>
      <c r="D101" s="2" t="s">
        <v>847</v>
      </c>
      <c r="E101" s="2" t="s">
        <v>848</v>
      </c>
      <c r="F101" s="2" t="s">
        <v>224</v>
      </c>
      <c r="G101" s="2"/>
      <c r="H101" s="2" t="s">
        <v>849</v>
      </c>
      <c r="I101" s="2" t="s">
        <v>850</v>
      </c>
      <c r="J101" s="3">
        <v>1</v>
      </c>
      <c r="K101" s="3">
        <v>-99</v>
      </c>
      <c r="L101" s="3" t="s">
        <v>1040</v>
      </c>
      <c r="M101" s="3">
        <v>102</v>
      </c>
      <c r="N101" s="3">
        <v>0</v>
      </c>
      <c r="O101" s="4" t="s">
        <v>155</v>
      </c>
      <c r="P101" s="4">
        <v>-77</v>
      </c>
      <c r="Q101" s="4">
        <v>0</v>
      </c>
      <c r="R101" s="4" t="s">
        <v>156</v>
      </c>
      <c r="S101" s="4" t="s">
        <v>157</v>
      </c>
      <c r="T101" s="4" t="s">
        <v>745</v>
      </c>
      <c r="U101" s="4">
        <v>-77</v>
      </c>
      <c r="V101" s="4">
        <v>-77</v>
      </c>
      <c r="W101" s="4">
        <v>0</v>
      </c>
      <c r="X101" s="4">
        <v>150</v>
      </c>
      <c r="Y101" s="4">
        <v>0</v>
      </c>
      <c r="Z101" s="4">
        <v>-77</v>
      </c>
      <c r="AA101" s="4" t="s">
        <v>1134</v>
      </c>
      <c r="AB101" s="4">
        <v>1</v>
      </c>
      <c r="AC101" s="5">
        <v>4</v>
      </c>
      <c r="AD101" s="5">
        <v>2</v>
      </c>
      <c r="AE101" s="5">
        <v>2</v>
      </c>
      <c r="AF101" s="5">
        <v>-77</v>
      </c>
      <c r="AG101" s="5" t="s">
        <v>166</v>
      </c>
      <c r="AH101" s="5" t="s">
        <v>179</v>
      </c>
      <c r="AI101" s="5">
        <v>-77</v>
      </c>
      <c r="AJ101" s="5">
        <v>-77</v>
      </c>
      <c r="AK101" s="5">
        <v>-77</v>
      </c>
      <c r="AL101" s="5">
        <v>-77</v>
      </c>
      <c r="AM101" s="5">
        <v>-77</v>
      </c>
      <c r="AN101" s="5">
        <v>-77</v>
      </c>
      <c r="AO101" s="5">
        <v>-77</v>
      </c>
      <c r="AP101" s="5">
        <v>-77</v>
      </c>
      <c r="AQ101" s="5">
        <v>-77</v>
      </c>
      <c r="AR101" s="5">
        <v>-77</v>
      </c>
      <c r="AS101" s="5">
        <v>-77</v>
      </c>
      <c r="AT101" s="5">
        <v>-77</v>
      </c>
      <c r="AU101" s="5">
        <v>-99</v>
      </c>
      <c r="AV101" s="5">
        <v>-77</v>
      </c>
      <c r="AW101" s="6">
        <v>6</v>
      </c>
      <c r="AX101" s="6">
        <v>25</v>
      </c>
      <c r="AY101" s="6">
        <v>2</v>
      </c>
      <c r="AZ101" s="6" t="s">
        <v>943</v>
      </c>
      <c r="BA101" s="7">
        <v>-99</v>
      </c>
    </row>
  </sheetData>
  <phoneticPr fontId="2" type="noConversion"/>
  <pageMargins left="0.7" right="0.7" top="0.78740157499999996" bottom="0.78740157499999996"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flex_coding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Annika</dc:creator>
  <cp:lastModifiedBy>Annika</cp:lastModifiedBy>
  <dcterms:created xsi:type="dcterms:W3CDTF">2022-04-27T15:55:25Z</dcterms:created>
  <dcterms:modified xsi:type="dcterms:W3CDTF">2022-09-19T08:44:04Z</dcterms:modified>
</cp:coreProperties>
</file>