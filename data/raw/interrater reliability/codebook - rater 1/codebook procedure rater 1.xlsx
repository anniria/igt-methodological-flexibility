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C:\Users\Annika\Documents\01_STUDIUM\4. HTI\IGT Projekt\Codebook_new\"/>
    </mc:Choice>
  </mc:AlternateContent>
  <xr:revisionPtr revIDLastSave="0" documentId="13_ncr:1_{FE5E76DE-71C2-4037-84DA-E2EF07D4D806}" xr6:coauthVersionLast="47" xr6:coauthVersionMax="47" xr10:uidLastSave="{00000000-0000-0000-0000-000000000000}"/>
  <bookViews>
    <workbookView xWindow="2415" yWindow="630" windowWidth="24810" windowHeight="17625" xr2:uid="{00000000-000D-0000-FFFF-FFFF00000000}"/>
  </bookViews>
  <sheets>
    <sheet name="Sheet1" sheetId="1" r:id="rId1"/>
  </sheets>
  <definedNames>
    <definedName name="_xlnm._FilterDatabase" localSheetId="0" hidden="1">Sheet1!$A$1:$AD$105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i27/ovlRjEJvW9jqZ+Gg4Uo1R63g=="/>
    </ext>
  </extLst>
</workbook>
</file>

<file path=xl/calcChain.xml><?xml version="1.0" encoding="utf-8"?>
<calcChain xmlns="http://schemas.openxmlformats.org/spreadsheetml/2006/main">
  <c r="E53" i="1" l="1"/>
  <c r="E104" i="1"/>
  <c r="E98" i="1"/>
  <c r="E94" i="1"/>
  <c r="E93" i="1"/>
  <c r="E91" i="1"/>
  <c r="E90" i="1"/>
  <c r="E89" i="1"/>
  <c r="E88" i="1"/>
  <c r="E87" i="1"/>
  <c r="E76" i="1"/>
  <c r="E70" i="1"/>
  <c r="E60" i="1"/>
  <c r="E58" i="1"/>
  <c r="E54" i="1"/>
  <c r="E49" i="1"/>
  <c r="E40" i="1"/>
  <c r="E38" i="1"/>
  <c r="E36" i="1"/>
  <c r="E26" i="1"/>
  <c r="E13" i="1"/>
  <c r="E5" i="1"/>
</calcChain>
</file>

<file path=xl/sharedStrings.xml><?xml version="1.0" encoding="utf-8"?>
<sst xmlns="http://schemas.openxmlformats.org/spreadsheetml/2006/main" count="2243" uniqueCount="447">
  <si>
    <t>article_id</t>
  </si>
  <si>
    <t>authors</t>
  </si>
  <si>
    <t>year</t>
  </si>
  <si>
    <t>order_number</t>
  </si>
  <si>
    <t>sample_size</t>
  </si>
  <si>
    <t>variant</t>
  </si>
  <si>
    <t>protocol</t>
  </si>
  <si>
    <t>goal</t>
  </si>
  <si>
    <t>instructions</t>
  </si>
  <si>
    <t>feedback</t>
  </si>
  <si>
    <t>incentives</t>
  </si>
  <si>
    <t>currency</t>
  </si>
  <si>
    <t>starting_capital</t>
  </si>
  <si>
    <t>reward_adv</t>
  </si>
  <si>
    <t>reward_disadv</t>
  </si>
  <si>
    <t>gain1</t>
  </si>
  <si>
    <t>gain2</t>
  </si>
  <si>
    <t>loss1</t>
  </si>
  <si>
    <t>loss2</t>
  </si>
  <si>
    <t>gain_int1</t>
  </si>
  <si>
    <t>gain_int2</t>
  </si>
  <si>
    <t>loss_int1</t>
  </si>
  <si>
    <t>loss_int2</t>
  </si>
  <si>
    <t>freq_adv1</t>
  </si>
  <si>
    <t>freq_adv2</t>
  </si>
  <si>
    <t>freq_disadv1</t>
  </si>
  <si>
    <t>freq_disadv2</t>
  </si>
  <si>
    <t>n_blocks</t>
  </si>
  <si>
    <t>n_trials</t>
  </si>
  <si>
    <t>notes_procedure</t>
  </si>
  <si>
    <t>numerical identifier for each publication</t>
  </si>
  <si>
    <t xml:space="preserve">names of authors, separated with semicolon
</t>
  </si>
  <si>
    <t>year of publication</t>
  </si>
  <si>
    <t>order number or name of study as reported in the publication; choose always the last study in multi-study papers
e.g., 
- experiment 2
- study 1c
- not applicable</t>
  </si>
  <si>
    <t>number of participants in the IGT study sample
e.g.,
- 115
- indeterminable</t>
  </si>
  <si>
    <t>in case of more than one IGT variant within one study, indicate to which variant the procedural details in the following columns apply. 
e.g.,
- original IGT
- reversed IGT
- modified IGT
- indeterminable
- not applicable</t>
  </si>
  <si>
    <t>IGT protocol followed in the study as stated in the publication
Only if explicitely stated that the protocol was followed and no changes were made to the stated protocol (otherwise code new protocol for a modified task or indeterminable, respectively). The remaining columns should be filled based on the information from the given protocol if applicable.
e.g.,
- standard protocol
- protocol described in author (year)
- new protocol
- indeterminable</t>
  </si>
  <si>
    <t>goal of the IGT as in the instructions for the participants 
e.g.,
- standard goal
- deviating from standard goal
- indeterminable</t>
  </si>
  <si>
    <t>instructions given to the participants
e.g., 
- standard instructions
- deviating from standard instructions
- indeterminable</t>
  </si>
  <si>
    <t>feedback given to the participants during task
e.g., 
- standard feedback
- deviating from standard feedback
- indeterminable</t>
  </si>
  <si>
    <t>incentives given to the participants
We consider this to be a special case of instruction. Therefore, what matters in terms of (in)dependence on the performance is what the participants were told.
e.g.,
- incentives dependent on task performance
- incentives independent on task performance 
- no incentives
- indeterminable</t>
  </si>
  <si>
    <t>currency or unit of starting capital, rewards, gains and losses
e.g.,
- $
- yuan
- points 
- indeterminable</t>
  </si>
  <si>
    <t>amount of starting capital
e.g.,
- 2000
- indeterminable
- not applicable</t>
  </si>
  <si>
    <t>reward for choosing cards of advantageous decks (usually decks C and D)
e.g.,
- 50
- 70-95
- indeterminable
- not applicable</t>
  </si>
  <si>
    <t>reward for choosing cards of disadvantageous decks (usually decks A and B)
e.g.,
- 100
- 70-95
- indeterminable
- not applicable</t>
  </si>
  <si>
    <t>net gain of advantageous deck 1 (usually deck C) in a defined interval
e.g.,
- 250
- indeterminable
- not applicable</t>
  </si>
  <si>
    <t>net gain of advantageous deck 2 (usually deck D) in a defined interval
e.g.,
- 250
- indeterminable
- not applicable</t>
  </si>
  <si>
    <t>net loss of disadvantageous deck 1 (usually deck A) in a defined interval
e.g.,
- -250
- indeterminable
- not applicable</t>
  </si>
  <si>
    <t>net loss of disadvantageous deck 2 (usually deck B) in a defined interval
e.g.,
- -250
- indeterminable
- not applicable</t>
  </si>
  <si>
    <t>number of trials interval for net gain of advantageous deck 1 (usually deck C)
e.g.,
- 10
- variable
- indeterminable
- not applicable</t>
  </si>
  <si>
    <t>number of trials interval for net gain of advantageous deck 2 (usually deck D)
e.g.,
- 10
- variable
- indeterminable
- not applicable</t>
  </si>
  <si>
    <t>number of trials interval for net loss of disadvantageous deck 1 (usually deck A)
e.g.,
- 10
- variable
- indeterminable
- not applicable</t>
  </si>
  <si>
    <t>number of trials interval for net loss of disadvantageous deck 2 (usually deck B)
e.g.,
- 10
- variable
- indeterminable
- not applicable</t>
  </si>
  <si>
    <t>loss frequency in percent of advantageous deck 1 (usually deck C) in a defined interval
e.g.,
- 50%
- variable
- indeterminable
- not applicable</t>
  </si>
  <si>
    <t>loss frequency in percent of advantageous deck 2 (usually deck D) in a defined interval
e.g.,
- 50%
- variable
- indeterminable
- not applicable</t>
  </si>
  <si>
    <t>loss frequency in percent of disadvantageous deck 1 (usually deck A) in a defined interval
e.g.,
- 50%
- variable
- indeterminable
- not applicable</t>
  </si>
  <si>
    <t>loss frequency in percent of disadvantageous deck 2 (usually deck B) in a defined interval
e.g.,
- 50%
- variable
- indeterminable
- not applicable</t>
  </si>
  <si>
    <t>number of bocks, if scored by blocks
e.g., 
- 5
- indeterminable
- not applicable
Not essential, procedural variable</t>
  </si>
  <si>
    <t>total number of trials in the task</t>
  </si>
  <si>
    <t xml:space="preserve">notes or relevant information on the IGT procedure that could not be caught by the defined variables
if something was unclear or needs discussion, you can also use a quote of the text passage in question </t>
  </si>
  <si>
    <t>not applicable</t>
  </si>
  <si>
    <t>indeterminable</t>
  </si>
  <si>
    <t>deviating from standard goal</t>
  </si>
  <si>
    <t>points</t>
  </si>
  <si>
    <t>standard protocol</t>
  </si>
  <si>
    <t>standard goal</t>
  </si>
  <si>
    <t>standard instructions</t>
  </si>
  <si>
    <t>standard feedback</t>
  </si>
  <si>
    <t>yuan</t>
  </si>
  <si>
    <t>003</t>
  </si>
  <si>
    <t>deviating from standard instructions</t>
  </si>
  <si>
    <t>deviating from standard feedback</t>
  </si>
  <si>
    <t>Sigurdardottir, Solrun; Jerstad, Tone; Andelic, Nada; Roe, Cecilie; Schanke, Anne-Kristine</t>
  </si>
  <si>
    <t>2010</t>
  </si>
  <si>
    <t>004</t>
  </si>
  <si>
    <t>Rodríguez-Sánchez, José Manuel; Crespo-Facorro, Benedicto; Iglesias, Rocío Perez; Bosch, César González-Blanch; Álvarez, Mario; Llorca, Javier; Vázquez-Barquero, José Luis</t>
  </si>
  <si>
    <t>2005</t>
  </si>
  <si>
    <t>005</t>
  </si>
  <si>
    <t>Tamm, Leanne; Epstein, Jeffery N.; Lisdahl, Krista M.; Molina, Brooke; Tapert, Susan; Hinshaw, Stephen P.; Arnold, L. Eugene; Velanova, Katerina; Abikoff, Howard; Swanson, James M.</t>
  </si>
  <si>
    <t>2013</t>
  </si>
  <si>
    <t>006</t>
  </si>
  <si>
    <t>Shirayama, Yukihiko; Takahashi, Michio; Suzuki, Masatoshi; Tsuruoka, Yoshiaki; Sato, Koichi</t>
  </si>
  <si>
    <t>2014</t>
  </si>
  <si>
    <t>008</t>
  </si>
  <si>
    <t>Angioletti, Laura; Campanella, Salvatore; Balconi, Michela</t>
  </si>
  <si>
    <t>2020</t>
  </si>
  <si>
    <t>009</t>
  </si>
  <si>
    <t>Schutter, Dennis J. L. G.; Haan, Edward H. F. de; van Honk, Jack</t>
  </si>
  <si>
    <t>2004</t>
  </si>
  <si>
    <t>010</t>
  </si>
  <si>
    <t>Verdejo-García, Antonio; Albein-Urios, Natalia; Molina, Esther; Ching-López, Ana; Martínez-González, José M.; Gutiérrez, Blanca</t>
  </si>
  <si>
    <t>012</t>
  </si>
  <si>
    <t>Davies, Julie L.; Turnbull, Oliver H.</t>
  </si>
  <si>
    <t>2011</t>
  </si>
  <si>
    <t>015</t>
  </si>
  <si>
    <t>Duell, Natasha; Steinberg, Laurence; Chein, Jason; Al-Hassan, Suha M.; Bacchini, Dario; Lei, Chang; Chaudhary, Nandita; Di Giunta, Laura; Dodge, Kenneth A.; Fanti, Kostas A.; Lansford, Jennifer E.; Malone, Patrick S.; Oburu, Paul; Pastorelli, Concetta; Skinner, Ann T.; Sorbring, Emma; Tapanya, Sombat; Uribe Tirado, Liliana Maria; Alampay, Liane Peña</t>
  </si>
  <si>
    <t>2016</t>
  </si>
  <si>
    <t>016</t>
  </si>
  <si>
    <t>Miguel, Carmen S.; Martins, Paula A.; Moleda, Nathalya; Klein, Margarete; Chaim-Avancini, Tiffany; Gobbo, Maria A.; Cunha, Paulo J.; Alves, Tania M.; Silva, Maria A.; Louzã, Mario R.</t>
  </si>
  <si>
    <t>017</t>
  </si>
  <si>
    <t>Vassileva, Jasmin; Paxton, Jessica; Moeller, F. Gerard; Wilson, Michael J.; Bozgunov, Kiril; Martin, Eileen M.; Gonzalez, Raul; Vasilev, Georgi</t>
  </si>
  <si>
    <t>018</t>
  </si>
  <si>
    <t>Hayes, William M.; Wedell, Douglas H.</t>
  </si>
  <si>
    <t>019</t>
  </si>
  <si>
    <t>van den Bos, Ruud; Homberg, Judith; Gijsbers, Ellen; Heijer, Esther den; Cuppen, Edwin</t>
  </si>
  <si>
    <t>2009</t>
  </si>
  <si>
    <t>020</t>
  </si>
  <si>
    <t>Mussey, Joanna L.; Travers, Brittany G.; Klinger, Laura Grofer; Klinger, Mark R.</t>
  </si>
  <si>
    <t>2015</t>
  </si>
  <si>
    <t>021</t>
  </si>
  <si>
    <t>Ouerchefani, Riadh; Ouerchefani, Naoufel; Allain, Philippe; Ben Rejeb, Mohamed Riadh; Le Gall, Didier</t>
  </si>
  <si>
    <t>2019</t>
  </si>
  <si>
    <t>024</t>
  </si>
  <si>
    <t>Manes, Facundo; Sahakian, Barbara; Clark, Luke; Rogers, Robert; Antoun, Nagui; Aitken, Mike; Robbins, Trevor</t>
  </si>
  <si>
    <t>2002</t>
  </si>
  <si>
    <t>025</t>
  </si>
  <si>
    <t>Cassotti, Mathieu; Moutier, Sylvain</t>
  </si>
  <si>
    <t>026</t>
  </si>
  <si>
    <t>Vergara-Moragues, Esperanza; Verdejo-García, Antonio; Lozano, Oscar M.; Santiago-Ramajo, Sandra; González-Saiz, Francisco; Betanzos Espinosa, Patricia; Pérez García, Miguel</t>
  </si>
  <si>
    <t>2017</t>
  </si>
  <si>
    <t>027</t>
  </si>
  <si>
    <t>Fujiwara, Esther; Schwartz, Michael L.; Gao, Fuqiang; Black, Sandra E.; Levine, Brian</t>
  </si>
  <si>
    <t>2008</t>
  </si>
  <si>
    <t>028</t>
  </si>
  <si>
    <t>Vassileva, Jasmin; Petkova, Pavlina; Georgiev, Stefan; Martin, Eileen M.; Tersiyski, Ruslan; Raycheva, Margarita; Velinov, Vladimir; Marinov, Peter</t>
  </si>
  <si>
    <t>2007</t>
  </si>
  <si>
    <t>030</t>
  </si>
  <si>
    <t>Simioni, Samanta; Ruffieux, Christiane; Kleeberg, Joerg; Bruggimann, Laure; Du Pasquier, Renaud A.; Annoni, Jean-Marie; Schluep, Myriam</t>
  </si>
  <si>
    <t>032</t>
  </si>
  <si>
    <t>Drucaroff, Lucas Javier; Kievit, Rogier; Guinjoan, Salvador M.; Gerschcovich, Eliana Roldán; Cerquetti, Daniel; Leiguarda, Ramón; Cardinali, Daniel P.; Vigo, Daniel E.</t>
  </si>
  <si>
    <t>033</t>
  </si>
  <si>
    <t>Correas, A.; López-Caneda, E.; Beaton, L.; Rodríguez Holguín, S.; García-Moreno, L. M.; Antón-Toro, L. F.; Cadaveira, F.; Maestú, F.; Marinkovic, K.</t>
  </si>
  <si>
    <t>034</t>
  </si>
  <si>
    <t>van Toor, Désie; Roozen, Hendrik G.; Evans, Brittany E.; Rombout, Linda; van de Wetering, Ben J. M.; Vingerhoets, Ad J. J. M.</t>
  </si>
  <si>
    <t>035</t>
  </si>
  <si>
    <t>Lovallo, William R.; Yechiam, Eldad; Sorocco, Kristen H.; Vincent, Andrea S.; Collins, Frank L.</t>
  </si>
  <si>
    <t>2006</t>
  </si>
  <si>
    <t>036</t>
  </si>
  <si>
    <t>Olkoniemi, Henri; Ranta, Henri; Kaakinen, Johanna K.</t>
  </si>
  <si>
    <t>037</t>
  </si>
  <si>
    <t>Boeka, Abbe Gayle; Lokken, Kristine Lee</t>
  </si>
  <si>
    <t>038</t>
  </si>
  <si>
    <t>Webb, Christian A.; DelDonno, Sophie; Killgore, William D. S.</t>
  </si>
  <si>
    <t>039</t>
  </si>
  <si>
    <t>Brown, Elliot C.; Hack, Samantha M.; Gold, James M.; Carpenter, William T. [JR.]; Fischer, Bernard A.; Prentice, Kristen P.; Waltz, James A.</t>
  </si>
  <si>
    <t>043</t>
  </si>
  <si>
    <t>Olson, Elizabeth A.; Weber, Mareen; Rauch, Scott L.; Killgore, William D. S.</t>
  </si>
  <si>
    <t>047</t>
  </si>
  <si>
    <t>Moussa, Malaak Nasser; Wesley, Michael J.; Porrino, Linda J.; Hayasaka, Satoru; Bechara, Antoine; Burdette, Jonathan H.; Laurienti, Paul J.</t>
  </si>
  <si>
    <t>048</t>
  </si>
  <si>
    <t>Hilbert, Anja; Neuhaus, Petra; Köhler, Norbert; Petroff, David; Hay, Phillipa; Hübner, Claudia</t>
  </si>
  <si>
    <t>2021</t>
  </si>
  <si>
    <t>049</t>
  </si>
  <si>
    <t>Castro e Couto, Tiago; Neves, Fernando Silva; Machado, Maria Carolina Lobato; Vasconcelos, Alina Gomide; Correa, Humberto; Malloy-Diniz, Leandro Fernandes</t>
  </si>
  <si>
    <t>2012</t>
  </si>
  <si>
    <t>050</t>
  </si>
  <si>
    <t>Dolan, Sara L.; Bechara, Antoine; Nathan, Peter E.</t>
  </si>
  <si>
    <t>051</t>
  </si>
  <si>
    <t>Biars, Julia W.; Johnson, Nicole L.; Nespeca, Michelle; Busch, Robyn M.; Kubu, Cynthia S.; Floden, Darlene P.</t>
  </si>
  <si>
    <t>052</t>
  </si>
  <si>
    <t>Wilde, Bieke; Goudriaan, Anneke; Sabbe, Bernard; Hulstijn, Wouter; Dom, Geert</t>
  </si>
  <si>
    <t>053</t>
  </si>
  <si>
    <t>Pettorruso, Mauro; Martinotti, Giovanni; Cocciolillo, Fabrizio; Risio, Luisa de; Cinquino, Annarita; Di Nicola, Marco; Camardese, Giovanni; Migliara, Giuseppe; Moccia, Lorenzo; Conte, Eliana; Janiri, Luigi; Di Giuda, Daniela</t>
  </si>
  <si>
    <t>054</t>
  </si>
  <si>
    <t>Delpero, Carla; Mioni, Giovanna; Rubio, Jose Luis; Juárez Ramos, Verónica; Gómez Milán, Emilio; Stablum, Franca</t>
  </si>
  <si>
    <t>056</t>
  </si>
  <si>
    <t>Laier, Christian; Pawlikowski, Mirko; Brand, Matthias</t>
  </si>
  <si>
    <t>057</t>
  </si>
  <si>
    <t>Peatfield, Nicholas; Parkinson, John; Intriligator, James</t>
  </si>
  <si>
    <t>059</t>
  </si>
  <si>
    <t>Huang, Yumi H.; Wood, Stacey; Berger, Dale E.; Hanoch, Yaniv</t>
  </si>
  <si>
    <t>060</t>
  </si>
  <si>
    <t>Allom, Vanessa; Mullan, Barbara; Sebastian, Jamie</t>
  </si>
  <si>
    <t>061</t>
  </si>
  <si>
    <t>Gilbert, Alison M.; Garno, Jessica L.; Braga, Raphael J.; Shaya, Yaniv; Goldberg, Terry E.; Malhotra, Anil K.; Burdick, Katherine E.</t>
  </si>
  <si>
    <t>062</t>
  </si>
  <si>
    <t>Alexander, Peter D.; Gicas, Kristina M.; Willi, Taylor S.; Kim, Clara N.; Boyeva, Veronika; Procyshyn, Ric M.; Smith, Geoff N.; Thornton, Allen E.; Panenka, William J.; Jones, Andrea A.; Vila-Rodriguez, Fidel; Lang, Donna J.; William MacEwan, G.; Honer, William G.; Barr, Alasdair M.</t>
  </si>
  <si>
    <t>064</t>
  </si>
  <si>
    <t>Bayard, Sophie; Langenier, Muriel Croisier; Dauvilliers, Yves</t>
  </si>
  <si>
    <t>065</t>
  </si>
  <si>
    <t>Zorlu, Nabi; Ucman, Tugba Karavul; Gelal, Fazil; Kalayci, Cigdem Colak; Polat, Serap; Saricicek, Aybala; Zorlu, Pelin Kurtgöz; Gulseren, Seref</t>
  </si>
  <si>
    <t>066</t>
  </si>
  <si>
    <t>Becker, Mary P.; Collins, Paul F.; Schultz, Ashley; Urošević, Snežana; Schmaling, Brittany; Luciana, Monica</t>
  </si>
  <si>
    <t>2018</t>
  </si>
  <si>
    <t>067</t>
  </si>
  <si>
    <t>Oyama, Genko; Shimo, Yasushi; Natori, Shihoko; Nakajima, Madoka; Ishii, Hisato; Arai, Hajime; Hattori, Nobutaka</t>
  </si>
  <si>
    <t>068</t>
  </si>
  <si>
    <t>Wadsworth, L. P.; Hayes-Skelton, S. A.</t>
  </si>
  <si>
    <t>070</t>
  </si>
  <si>
    <t>Olkoniemi, Henri; Johander, Eerika; Kaakinen, Johanna K.</t>
  </si>
  <si>
    <t>071</t>
  </si>
  <si>
    <t>Kobayakawa, Mutsutaka; Tsuruya, Natsuko; Kawamura, Mitsuru</t>
  </si>
  <si>
    <t>072</t>
  </si>
  <si>
    <t>Agay, Nirit; Yechiam, Eldad; Carmel, Ziv; Levkovitz, Yechiel</t>
  </si>
  <si>
    <t>074</t>
  </si>
  <si>
    <t>Tolin, David F.; Villavicencio, Anna</t>
  </si>
  <si>
    <t>075</t>
  </si>
  <si>
    <t>Paiva, Maria L.; Rzezak, Patricia; Santos, Bernardo; Lima, Ellen M.; Moschetta, Sylvie P.; Vincentiis, Silvia; Alessi, Rudá; Mendoza, Melanie; Valente, Kette D.</t>
  </si>
  <si>
    <t>078</t>
  </si>
  <si>
    <t>Balconi, Michela; Finocchiaro, Roberta; Canavesio, Ylenia; Messina, Rossella</t>
  </si>
  <si>
    <t>079</t>
  </si>
  <si>
    <t>Moeller, F. Gerard; Steinberg, Joel L.; Lane, Scott D.; Buzby, Matthew; Swann, Alan C.; Hasan, Khader M.; Kramer, Larry A.; Narayana, Ponnada A.</t>
  </si>
  <si>
    <t>081</t>
  </si>
  <si>
    <t>Werner, Natalie S.; Jung, Katharina; Duschek, Stefan; Schandry, Rainer</t>
  </si>
  <si>
    <t>083</t>
  </si>
  <si>
    <t>Ciberti, Agnese; Cavalletti, Matteo; Palagini, Laura; Mariani, Michela Giorgi; Dell'Osso, Liliana; Mauri, Mauro; Maglio, Alessandra; Mucci, Federico; Marazziti, Donatella; Miniati, Mario</t>
  </si>
  <si>
    <t>084</t>
  </si>
  <si>
    <t>Bolla, Karen I.; Eldreth, D. A.; Matochik, J. A.; Cadet, J. L.</t>
  </si>
  <si>
    <t>085</t>
  </si>
  <si>
    <t>086</t>
  </si>
  <si>
    <t>Bauer, A. S.; Timpe, J. C.; Edmonds, E. C.; Bechara, Antoine; Tranel, Daniel; Denburg, Natalie L.</t>
  </si>
  <si>
    <t>087</t>
  </si>
  <si>
    <t>Overman, William; Graham, Lee; Redmond, Alyssa; Eubank, Rebecca; Boettcher, Laura; Samplawski, Olga; Walsh, Katherine</t>
  </si>
  <si>
    <t>088</t>
  </si>
  <si>
    <t>Ciccarelli, Maria; Griffiths, Mark D.; Nigro, Giovanna; Cosenza, Marina</t>
  </si>
  <si>
    <t>089</t>
  </si>
  <si>
    <t>Dretsch, Michael N.; Tipples, Jason</t>
  </si>
  <si>
    <t>090</t>
  </si>
  <si>
    <t>Bangma, Dorien F.; Koerts, Janneke; Fuermaier, Anselm B. M.; Mette, Christian; Zimmermann, Marco; Toussaint, Anna K.; Tucha, Lara; Tucha, Oliver</t>
  </si>
  <si>
    <t>091</t>
  </si>
  <si>
    <t>Lawrence, Natalia S.; Jollant, Fabrice; O'Daly, Owen; Zelaya, Fernando; Phillips, Mary L.</t>
  </si>
  <si>
    <t>092</t>
  </si>
  <si>
    <t>Soyata, Ahmet Zihni; Aksu, Serkan; Woods, Adam J.; İşçen, Pınar; Saçar, Kardelen Türkü; Karamürsel, Sacit</t>
  </si>
  <si>
    <t>093</t>
  </si>
  <si>
    <t>Rass, Olga; Umbricht, Annie; Bigelow, George E.; Strain, Eric C.; Johnson, Matthew W.; Mintzer, Miriam Z.</t>
  </si>
  <si>
    <t>095</t>
  </si>
  <si>
    <t>Cherkasova, Mariya V.; Clark, Luke; Barton, Jason J. S.; Schulzer, Michael; Shafiee, Mahsa; Kingstone, Alan; Stoessl, A. Jon; Winstanley, Catharine A.</t>
  </si>
  <si>
    <t>096</t>
  </si>
  <si>
    <t>Killgore, William D. S .; Balkin, Thomas J. ..; Wsensten, Nancy J.</t>
  </si>
  <si>
    <t>097</t>
  </si>
  <si>
    <t>Auzou, Nicolas; Foubert-Samier, Alexandra; Dupouy, Sandrine; Meissner, Wassilios G.</t>
  </si>
  <si>
    <t>098</t>
  </si>
  <si>
    <t>van den Eynde, Frédérique; Senturk, Vesile; Naudts, Kris; Vogels, Caroline; Bernagie, Katrien; Thas, Olivier; van Heeringen, Cornelis; Audenaert, Kurt</t>
  </si>
  <si>
    <t>100</t>
  </si>
  <si>
    <t>O'Brien, Jessica W.; Lichenstein, Sarah D.; Hill, Shirley Y.</t>
  </si>
  <si>
    <t>101</t>
  </si>
  <si>
    <t>Denburg, Natalie L.; Recknor, Emily C.; Bechara, Antoine; Tranel, Daniel</t>
  </si>
  <si>
    <t>103</t>
  </si>
  <si>
    <t>Ert, Eyal; Yechiam, Eldad; Arshavsky, Olga</t>
  </si>
  <si>
    <t>105</t>
  </si>
  <si>
    <t>Schellenberg, Benjamin J. I.; Bailis, Daniel S.</t>
  </si>
  <si>
    <t>107</t>
  </si>
  <si>
    <t>Westheide, Jens; Wagner, Michael; Quednow, Boris B.; Hoppe, Christian; Cooper-Mahkorn, Déirdre; Strater, Birgitta; Maier, Wolfgang; Kuhn, Kai-Uwe</t>
  </si>
  <si>
    <t>110</t>
  </si>
  <si>
    <t>West, Jeffrey T.; Horning, Sheena M.; Klebe, Kelli J.; Foster, Shannon M.; Cornwell, R. Elisabeth; Perrett, David; Burt, D. Michael; Davis, Hasker P.</t>
  </si>
  <si>
    <t>113</t>
  </si>
  <si>
    <t>Franken, Ingmar H. A.; van Strien, Jan W.; Nijs, Ilse; Muris, Peter</t>
  </si>
  <si>
    <t>115</t>
  </si>
  <si>
    <t>Alm, Kylie H.; Rolheiser, Tyler; Mohamed, Feroze B.; Olson, Ingrid R.</t>
  </si>
  <si>
    <t>116</t>
  </si>
  <si>
    <t>Kulkarni, Sandip; Jain, Sanjeev; Reddy, Y. C. Janardhan; Kumar, Keshav J.; Kandavel, Thennarasu</t>
  </si>
  <si>
    <t>117</t>
  </si>
  <si>
    <t>Toplak, Maggie E.; Jain, Umesh; Tannock, Rosemary</t>
  </si>
  <si>
    <t>120</t>
  </si>
  <si>
    <t>Tenconi, Elena; Degortes, Daniela; Clementi, Maurizio; Collantoni, Enrico; Pinato, Claudia; Forzan, Monica; Cassina, Matteo; Santonastaso, Paolo; Favaro, Angela</t>
  </si>
  <si>
    <t>121</t>
  </si>
  <si>
    <t>Gleichgerrcht, Ezequiel; Torralva, Teresa; Roca, María; Szenkman, Daniela; Ibanez, Agustin; Richly, Pablo; Pose, Mariángeles; Manes, Facundo</t>
  </si>
  <si>
    <t>122</t>
  </si>
  <si>
    <t>Hermann, Derik; Leménager, Tagrid; Gelbke, Jan; Welzel, Helga; Skopp, Gisela; Mann, Karl</t>
  </si>
  <si>
    <t>124</t>
  </si>
  <si>
    <t>Navas, Juan F.; Vilar-López, Raquel; Perales, José C.; Steward, Trevor; Fernández-Aranda, Fernando; Verdejo-García, Antonio</t>
  </si>
  <si>
    <t>126</t>
  </si>
  <si>
    <t>Whitney, Kriscinda A.; Fastenau, Philip S.; Evans, Jovier D.; Lysaker, Paul H.</t>
  </si>
  <si>
    <t>127</t>
  </si>
  <si>
    <t>Delazer, Margarete; Högl, Birgit; Zamarian, Laura; Wenter, Johanna; Gschliesser, Viola; Ehrmann, Laura; Brandauer, Elisabeth; Cevikkol, Zehra; Frauscher, Birgit</t>
  </si>
  <si>
    <t>128</t>
  </si>
  <si>
    <t>Gianfranchi, Evelyn; Tagliabue, Mariaelena; Spoto, Andrea; Vidotto, Giulio</t>
  </si>
  <si>
    <t>130</t>
  </si>
  <si>
    <t>Krawitz, Adam; Fukunaga, Rena; Brown, Joshua W.</t>
  </si>
  <si>
    <t>131</t>
  </si>
  <si>
    <t>Levi, Marc D.; Nussbaum, David S.; Rich, Jill B.</t>
  </si>
  <si>
    <t>132</t>
  </si>
  <si>
    <t>Mapelli, Daniela; Di Rosa, Elisa; Cavalletti, Matteo; Schiff, Sami; Tamburin, Stefano</t>
  </si>
  <si>
    <t>133</t>
  </si>
  <si>
    <t>Szasz, Paul Lucian; Hofmann, Stefan G.; Heilman, Renata M.; Curtiss, Joshua</t>
  </si>
  <si>
    <t>134</t>
  </si>
  <si>
    <t>Lakey, Chad E.; Goodie, Adam S.; Campbell, W. Keith</t>
  </si>
  <si>
    <t>135</t>
  </si>
  <si>
    <t>Suhr, Julie; Hammers, Dustin</t>
  </si>
  <si>
    <t>136</t>
  </si>
  <si>
    <t>Christakou, Anastasia; Gershman, Samuel J.; Niv, Yael; Simmons, Andrew; Brammer, Mick; Rubia, Katya</t>
  </si>
  <si>
    <t>137</t>
  </si>
  <si>
    <t>He, Qinghua; Xue, Gui; Chen, Chuansheng; Lu, Zhonglin; Dong, Qi; Lei, Xuemei; Ding, Ni; Li, Jin; Li, He; Chen, Chunhui; Li, Jun; Moyzis, Robert K.; Bechara, Antoine</t>
  </si>
  <si>
    <t>138</t>
  </si>
  <si>
    <t>Labudda, Kirsten; Frigge, Kristina; Horstmann, Simone; Aengenendt, Joerg; Woermann, Friedrich G.; Ebner, Alois; Markowitsch, Hans J.; Brand, Matthias</t>
  </si>
  <si>
    <t>139</t>
  </si>
  <si>
    <t>Le Bas, Genevieve A.; Hughes, Melissa A.; Stout, Julie C.</t>
  </si>
  <si>
    <t>Experiment 2</t>
  </si>
  <si>
    <t>Study 2</t>
  </si>
  <si>
    <t>Experiment 1B</t>
  </si>
  <si>
    <t>Experiment 3</t>
  </si>
  <si>
    <t>no info, no citation</t>
  </si>
  <si>
    <t>no info really</t>
  </si>
  <si>
    <t>no info</t>
  </si>
  <si>
    <t>euros</t>
  </si>
  <si>
    <t>pounds</t>
  </si>
  <si>
    <t>apples</t>
  </si>
  <si>
    <t>yen</t>
  </si>
  <si>
    <t>dinars</t>
  </si>
  <si>
    <t>-10000</t>
  </si>
  <si>
    <t>-50</t>
  </si>
  <si>
    <t>-5000</t>
  </si>
  <si>
    <t>-100</t>
  </si>
  <si>
    <t>modified IGT with reversal learning phase and 400 trials; after 200 trials the reward contingencies were reversed such that the advantageous decks became the disadvantageous decks and vice versa, the reversal phase lasted another 200 trials; reward probabilites followed the standard IGT design</t>
  </si>
  <si>
    <t>dollars</t>
  </si>
  <si>
    <t xml:space="preserve">dollars </t>
  </si>
  <si>
    <t>very short paragraph on the IGT version, Bechara 1994 cited but not made explicit that the protocol was followed.</t>
  </si>
  <si>
    <t xml:space="preserve">adapted online Italian version; Bechara 1994 cited in parentheses but not made explicit that the protocol was followed; it is mentioned that the participants received standard instructions </t>
  </si>
  <si>
    <t>reference to Bechara 1999 for more details (p.940) but not clear if this is a reference to the used task protocol or to the theory; a pre-punishment phase of about 10-15 cards (p.940) is mentioned but unclear if this is referring to an assumed choice behavior or a specific feature of the used task; a loan of "approximately 2000 Euros" (p.940) is mentioned</t>
  </si>
  <si>
    <t>new protocol</t>
  </si>
  <si>
    <t xml:space="preserve">majority of materials and general task procedure were identical to the original IGT (1994); quote p.242: "the contingency pattern of the original task was retained in both conditions". BUT decks are paired with black or white faces as stimuli. Unclear whether goal, instructions and feedback were the same as in the original IGT. </t>
  </si>
  <si>
    <t>clinical IGT (PAR)</t>
  </si>
  <si>
    <t>original fixed reward and punishment schedules described in Bechara (1994); feedback is deviating from standard feedback as no green bar is displayed; the task was interrupted every ten trials to rate valence and arousal associated with each deck (could be a meaningful modification?)</t>
  </si>
  <si>
    <t>independent incentives</t>
  </si>
  <si>
    <t>protocol described in van den Bos (2006)</t>
  </si>
  <si>
    <t xml:space="preserve">Bechara 1994 is cited in parentheses. Description of task is general and rather vague. </t>
  </si>
  <si>
    <t xml:space="preserve">"procedure […] well documented" with citation of Bechara publications. Might be original task but not made explicit that the protocol was followed in terms of instructions and feedback. </t>
  </si>
  <si>
    <t>incentives dependent on task performance</t>
  </si>
  <si>
    <t>"Decision making was tested at baseline using the original computerized version of the IGT (Version ABCD), and retested at follow-up with a parallel version of the task (Version KLMN)." (follow-up with parallel version is described in Hernandez 2006 to which I have no access)</t>
  </si>
  <si>
    <t xml:space="preserve">hungy donkey task described in Crone 2004; modified by a 6s delay between decisions </t>
  </si>
  <si>
    <t>Bechara 1994 cited in parentheses, no further information</t>
  </si>
  <si>
    <t>unclear whether new protocol or which protocol was followed but certainly not the standard protocol, version with increasing losses (A,B) and wins (C,D). quote p.766: "In this version of the game, the decks were stacked to provide a balance of wins to losses that changed as play progressed. Decks A and B, initially yield large gains ($100 per play) with few losses, although after 20 plays from each of those decks, the losses become larger, so that consistent play from these ‘‘bad’’ decks results in a net loss for the game. In the ‘‘good’’ decks, C and D, the initial losses are larger than the gains, but on later plays, the wins increase relative to the losses, so that consistent play from these decks results in net winnings for the game."</t>
  </si>
  <si>
    <t>Müller PEBL version which is basically the original version; decks are shuffled in 10 card epochs meaning that the occurrence of the penalty cannot be predicted (in the original task the scheme is set!)</t>
  </si>
  <si>
    <t>Bechara 1997 is cited in parentheses, indicating that this version was used but not explicitely stated. Participants explicitely received "standard instructions" referencing Bechara 1994.</t>
  </si>
  <si>
    <t xml:space="preserve">quote p.5: "the computerized IGT was administered (Busemeyer &amp; Stout, 2002; computerized version v. 2.0)." standard deck configuration. 60 cards per deck (instead of 40). </t>
  </si>
  <si>
    <t>modified IGT; 3 blocks of trials a 45 gambling trials and 13 control trials in which participant where told to choose from a specific deck; 10 exercise trialsbefore entering the MRI; 2s per trial for card selection</t>
  </si>
  <si>
    <t>no citation, very general description; mentioned is IGT-Br (a brazilian adapted IGT version)</t>
  </si>
  <si>
    <t>Bechara is a co-author, so probably standard protocol but not explicitely stated</t>
  </si>
  <si>
    <t>Bechara 1994 cited in parentheses, apart from that only a vague description of the task</t>
  </si>
  <si>
    <t>a computerized version of the IGT, not stated which one, citation of Bechara 1994</t>
  </si>
  <si>
    <t>quote p.695: "Detailed task descriptions can be found elsewhere (e.g. Dunn, Dalgeish, &amp; Lawrence, 2006)"; modified version: neutral stimuli on 3 decks, dis-liked brand logo on 1 of the good decks; standard trial and deck contigencies; instructions are given in the appendix</t>
  </si>
  <si>
    <t xml:space="preserve">Bechara 1994 is cited in parentheses. Standard gain-loss scheme in Appendix A. </t>
  </si>
  <si>
    <t>quote p.481: "a computerised version of the Iowa Gambling Task (IGT) based on that described by Bechara, Damasio, Damasio, and Anderson (1994)." modified (number of trials), but only briefly described</t>
  </si>
  <si>
    <t>Bechara 1994 is cited, very little info on procedure, results in Appendix, Table 5</t>
  </si>
  <si>
    <t>no info/description, citation of Bechara 1994</t>
  </si>
  <si>
    <t xml:space="preserve">Bechara 1994 is cited in parentheses. General description of the task, no details. </t>
  </si>
  <si>
    <t>protocol described in Becker 2014</t>
  </si>
  <si>
    <t>computerized IGT version translated into Japanese, reference to Bechara 1994</t>
  </si>
  <si>
    <t>modified version: time component (2s) and goal of 5000 $ was set to elicit anxiety, IGT was meant as a low control task; 2s per trial; incentives were independent from task success, but participants were told there were dependent</t>
  </si>
  <si>
    <t>standard IGT</t>
  </si>
  <si>
    <t>simplified IGT</t>
  </si>
  <si>
    <t>quote p.262: "The 2 task versions included the original version of the task and a simplified version with a feedback method called foregone payoffs"; original task as in Bechara 1994</t>
  </si>
  <si>
    <t>reads more like a general description of the IGT, no details reported; instructions and feedback are mentioned briefly but not detailed; Bechara 1997 is referenced in parentheses</t>
  </si>
  <si>
    <t xml:space="preserve">might be 1994 protocol but not clearly stated; Bechara 1994 is referenced in parentheses; brief description with only few details </t>
  </si>
  <si>
    <t>quote p.781 "The version of the IGT used was a computerized version of the original IGT", but 60 cards per deck, reference to Bechara 1994 in parentheses</t>
  </si>
  <si>
    <t xml:space="preserve">activation task in PET; version remains unclear but modified (unclear number of exercise trials); instructions are described and resemble standard instructions but not enough info to be really sure I guess? </t>
  </si>
  <si>
    <t>original version 1994 but with dinars (p.76)</t>
  </si>
  <si>
    <t>A'B'C'D'</t>
  </si>
  <si>
    <t>E'F'G'H' (reversed IGT)</t>
  </si>
  <si>
    <t>version described in Overman 2004 with moral dilemmas to solve after every 10 trials</t>
  </si>
  <si>
    <t xml:space="preserve">probably original 1994 task, but not clearly stated; Bechara 1994 cited in parentheses followed by a general task description </t>
  </si>
  <si>
    <t>reversed IGT (EFGH)</t>
  </si>
  <si>
    <t>190;200;210</t>
  </si>
  <si>
    <t>90;100;110</t>
  </si>
  <si>
    <t xml:space="preserve">modified version; 3s per trial with "pick a card" prompt and "too late" message; deck A was the same as deck B; deck C was the same as deck D; pure win and pure loss trials (no win AND loss with a card --&gt; not every card is with a win) --&gt; feedback, this also affects instructions; new gain loss schedule was constructed for the study but same net gain/loss as in original task </t>
  </si>
  <si>
    <t>turkish liras</t>
  </si>
  <si>
    <t>protocol described in Icellioglu 2015</t>
  </si>
  <si>
    <t>protocol described in Mintzer &amp; Stitzer 2002</t>
  </si>
  <si>
    <t>simplified outcome structure (wins OR losses); cued and uncued task with differences in feedback (numerically vs pictures of money and sounds, also the feedback differed from the original task (no bar but previous and current total dollars); no info about version, could be new protocol or used before; frequency adv1 is no actual loss, but an 50% chance of 0$ outcome; also the gain loss structure is described but I can't really understand what's going on there (quote p.10363: "Two of the decks were high-risk and high-reward decks, resulting in larger gains on successful trials ($100), but also in larger and/or more frequent losses: 10% chance of losing $1150 for one of  the decks and 50% chance of losing $50, $100, $150, $200, or $250 for the other deck. The remaining two decks were low risk and low reward, resulting in smaller gains ($50) on successful trials and either no loss or a smaller or infrequent losses on unsuccessful trials: 50% chance of a $0 outcome for one of the decks and 10% chance of losing $150 for the other deck. Over time, choosing from the low-risk low-reward decks typically yields a cumulative gain, making this the optimal strategy."</t>
  </si>
  <si>
    <t xml:space="preserve">no info on version and very general task description </t>
  </si>
  <si>
    <t>40-60 and increasing</t>
  </si>
  <si>
    <t>80-120 and increasing</t>
  </si>
  <si>
    <t>25 and increasing</t>
  </si>
  <si>
    <t>-25 and increasing</t>
  </si>
  <si>
    <t>modified IGT</t>
  </si>
  <si>
    <t>EGT</t>
  </si>
  <si>
    <t>50-200</t>
  </si>
  <si>
    <t xml:space="preserve">quote p.e68064: "Using two modified versions of the IGT"; modified IGT; average losses and gains increase with every block of 10 cards --&gt; difference between expected values increases; 60 trials; foregone payoffs (feedback includes outcomes of all decks even if not selected); instructions identical to Yechiam 2005 (instructions are only briefly described there, so actually a weird reference but well); 6 blocks in procedure but 3 in results </t>
  </si>
  <si>
    <t xml:space="preserve">same procedure as IGT but with different outcomes, risky decks: Win or lose $50, $100, $150, $200 with equal chances (and 0); safe decks: win 20 for sure; foregone payoffs; 6 blocks in procedure but 3 in results </t>
  </si>
  <si>
    <t>Bechara 1994 is cited in parentheses but the description is quite general</t>
  </si>
  <si>
    <t>protocol described in Quednow 2007</t>
  </si>
  <si>
    <t>Bechara 1994 cited in parentheses but computerized version applied, not clearly stated which one, very general task description</t>
  </si>
  <si>
    <t>Bechara 1994 is referenced but not clearly stated that the original protocol was followed</t>
  </si>
  <si>
    <t>Bechara 1994 is cited as developer of the IGT, general task description, no info on version, amounts of money mentioned as examples don't fit the original gain loss scheme</t>
  </si>
  <si>
    <t>no info on version or any procedure details; citation of Bechara 1994 in the introduction for a very general brief description</t>
  </si>
  <si>
    <t>citation of Bechara 1994 in the measures section with a brief description of the task</t>
  </si>
  <si>
    <t>citation of Bechara 1994 but no further info on any procedural details</t>
  </si>
  <si>
    <t>might be 1994 version but not clearly stated, Bechara 1994 cited in parentheses</t>
  </si>
  <si>
    <t>Bechara 1994 cited in parentheses, but also made explicit that a computerized version was used, brief description, might be the original scheme</t>
  </si>
  <si>
    <t>Bechara 1994 cited in parentheses, might be original version but not explicitely stated</t>
  </si>
  <si>
    <t>Bechara 1994 cited in parentheses and brief description, but modified at least in number of trials (150)</t>
  </si>
  <si>
    <t>quote p.281: "A computerized version of the Iowa Gambling Task (GT) (Bechara, 1994) to measure decision-making capacity was used."</t>
  </si>
  <si>
    <t>quote p.163: "A computerized (ABCD) version of the Iowa Gambling Task (IGT) was employed to simulate real-life decision making in terms of rewards and losses (Bechara, 1994; Bechara, Damasio, Tranel, &amp; Damasio, 1997)." + general description of task, decks are named A', B', C', D' here, so still unclear which version was used</t>
  </si>
  <si>
    <t xml:space="preserve">quote p.18: "The Iowa Gambling Task (Bechara, 1994) uses four simulated card decks arranged in a row." followed by description of typical gain loss schedule. </t>
  </si>
  <si>
    <t>original task (reference to Bechara 1999), quote p.454: "We replicated the task prepared by Bechara and translated it into Japanese."</t>
  </si>
  <si>
    <t>quote p. 158: "In the present study we used the computerized version of the Iowa Gambling Task (Bechara, 1994)," --&gt; could be standard protocol but not explicitely stated?</t>
  </si>
  <si>
    <t>quote p.10: "This task was designed after the Iowa gambling task by Bechara" with a citation of Bechara 1996; rewards and penalties much lower (base .1 instead of 10) but apart from that the same gain loss structure as in original task; not computerized but cards designed by the researcher and monopoly play money</t>
  </si>
  <si>
    <t>quote p.5: "We administered a computerized version of the Iowa Gambling Task (IGT) based on the original version conceived by Bechara (1994)." --&gt; Not super sure about my decision but I decided that's a clear enough phrasing to fill in the standard gain loss schedule (but left the instructions / feedback on indeterminable); standard goal is mentioned</t>
  </si>
  <si>
    <t xml:space="preserve">description is weird, quote p.3: "The IGT was developed by Bechara [14], translated and adapted to Portuguese by Malloy-Diniz [32]. According to the authors [14,15,32], in the computerized version of the gambling task, the subject sees four decks of cards on a computer screen." / "As stated by Bechara [14], the total number of trials was set at 100 card selections" -&gt; reference 14 is PAR IGT and the described schedule seems to be PAR version; the referenced paper for the translation doesn't give clear information on the version that was translated but most likely the original version and not the clinical PAR version which was only published in the same year; feedback is described (from description very likely standard feedback); instructions are set to indeterminable because it remains unclear which instructions were given but I use the PAR IGT values for the schedule information </t>
  </si>
  <si>
    <t>PAR IGT ist quoted in parentheses but no info apart from that; PAR version differs in instructions (e.g. use money as if it was your own) and feedback (e.g. red bar along with green bar as a reminder of borrowed amount of money), also new is that if the cash pile falls below zero, an additional 2000 dollars is borrowed, decks contain 60 cards (instead of 40)</t>
  </si>
  <si>
    <t>PAR version with provided reward schedule; PAR version differs in instructions (e.g. use money as if it was your own) and feedback (e.g. red bar along with green bar as a reminder of borrowed amount of money), also new is that if the cash pile falls below zero, an additional 2000 dollars is borrowed, decks contain 60 cards (instead of 40)</t>
  </si>
  <si>
    <t>PAR IGT was administered; PAR version differs in instructions (e.g. use money as if it was your own) and feedback (e.g. red bar along with green bar as a reminder of borrowed amount of money), also new is that if the cash pile falls below zero, an additional 2000 dollars is borrowed, decks contain 60 cards (instead of 40)</t>
  </si>
  <si>
    <t>50 and increasing</t>
  </si>
  <si>
    <t>100 and increasing</t>
  </si>
  <si>
    <t>250 and increasing</t>
  </si>
  <si>
    <t>-250 and increasing</t>
  </si>
  <si>
    <t>50% and increasing</t>
  </si>
  <si>
    <t>original human IGT as in Bechara 1994, automated with Excel and performed as described in van den Bos (2006); schedules described in Bechara 1994; feedback differed (cards left in the deck; net score shown on the card (whatever that means? probably win and loss added? in addition to values shown in the original task), running total); small addition to standard instructions 1994 that are contained in the standard instructions 1997 anyway</t>
  </si>
  <si>
    <t>.10;.15</t>
  </si>
  <si>
    <t>measures repeated the baseline assessment published in another paper; see Becker et al 2014 for detailed description of methods; reference to Bechara 1994 and also reference to Hooper 2004 in Table 2 (version described there seems similar or the same?); Becker 2014 also references to Hooper 2004, no detailed info on instructions or feedback in either of the cited publications</t>
  </si>
  <si>
    <t>protocol described in Agay 2010</t>
  </si>
  <si>
    <t>25-100 (not with each card --&gt; gains and losses</t>
  </si>
  <si>
    <t>protocol described in Bechara &amp; Martin 2004 (A'B'C'D')</t>
  </si>
  <si>
    <t>protocol described in Cauffman  (2010)</t>
  </si>
  <si>
    <t xml:space="preserve">quote p.1599: "The standard task (Bechara, 1994) was modified in two ways"; variant in which participants decide to play or pass a card from a preselected deck rather than deciding to draw from any of the 4 decks; participants have 4s decision time per trial. Reference to Cauffman  2010, modified gain loss schedule can be found there, feedback differs (gain or loss or draw, not gain and loss), there's a probability of .25 of 0$ payoff only in deck C, first trial with a loss is fixed (e.g. 3rd card in deck A, 13th card in deck C) </t>
  </si>
  <si>
    <t>protocol described in Crone  (2004)</t>
  </si>
  <si>
    <t>quote p.262: "The 2 task versions included the original version of the task and a simplified version with a feedback method called foregone payoffs"; foregone payoff task is a modified IGT which is different in feedback given; outcome for all other decks is shown; there is a reference to Agay  2010 (who describe the payoff structure of their version which they developed for the study referenced in a table) but it's not really made explicit that the protocol described there is followed or which gain loss schedule is actually used, so I decided to stay with indeterminable protocol but might change later</t>
  </si>
  <si>
    <t>protocol described in Overman  2004</t>
  </si>
  <si>
    <t xml:space="preserve">quote p. 1068: "Finally, the Iowa Gambling Task (IGT; Bechara, Damasio, Damasio, &amp; Anderson, 1994; Grasman &amp; Wagenmakers, 2005) was included in the test battery", second reference is an implementation of the IGT as jscript apparently but the link doesn't work </t>
  </si>
  <si>
    <t xml:space="preserve">modified version described in Mintzer 2002 </t>
  </si>
  <si>
    <t xml:space="preserve">modified IGT version described in detail by Quednow  2007; computerized version was programmed by a co-author, cards have gain or penalty (not both); points </t>
  </si>
  <si>
    <t>protocol described in Christakou 2009</t>
  </si>
  <si>
    <t>protocol described in Windmann 2006</t>
  </si>
  <si>
    <t>quote p.312: "The IGT format used was a standardized computer-administered test (Bechara, 1994)", this is kinda a riddle because the 1994 version was not computerized yet, still I see a reference in the word standardized here, so my interpretation is standard protocol in this case</t>
  </si>
  <si>
    <t xml:space="preserve">quote p.506: "The IGT (Bechara, 1994) is a computerized test in which four card decks appear on the screen (labeled A, B, C, and D). The detailed instructions for the standard protocol of IGT are found in Bechara (2000)." --&gt; Bechara, Tranel &amp; Damasio 2000. This might reflect that the protocol in Bechara, Tranel &amp; Damasio 2000 was followed but the formulation seems to vague to be sure. Decided to code as indeterminable protocol because of that. Cut-off scores for normal and impaired performance are mentioned. </t>
  </si>
  <si>
    <t>Bechara, Tranel &amp; Damasio 2000 cited in parentheses. No modification reported but very general description lacking details - not even number of trials is mentioned</t>
  </si>
  <si>
    <t xml:space="preserve">quote p.463: "Participants were administered a computerized version of the IGT (Bechara, 2000)" --&gt; Bechara, Tranel &amp; Damasio 2000 with 4 versions; this could be a reference to the protocol or a reference to the task in general, so I decided to code indeterminable protocol. </t>
  </si>
  <si>
    <t>Procedure described in Bechara &amp; Martin 2004, this makes a reference to Bechara 2001 and Bechara, Tranel &amp; Damasio 2000, described is the A'B'C'D' task as in Bechara, Tranel &amp; Damasio 2000. Task was translated to Bulgarian.</t>
  </si>
  <si>
    <t>quote p.6: "Participants were administered a computerised version of the IGT (Bechara, Tranel, &amp; Damasio, 2000)." --&gt; Bechara, Tranel &amp; Damasio 2000, could be the ABCD version but description is to vague</t>
  </si>
  <si>
    <t>modified version: neutral stimuli (pictures on the back of the deck) on the disadvantageous and sexual stimuli on the advantageous decks or the other way round; citation of Bechara 1994 and Bechara, Tranel &amp; Damasio 2000, not clearly stated which version was used though in my opinion rather clear that the original paradigm was used - not sure about my coding decision at this point</t>
  </si>
  <si>
    <t>protocol described in Bechara, Tranel &amp; Damasio 2000 (EFGH)</t>
  </si>
  <si>
    <t xml:space="preserve">reversed version of IGT, where immediate losses were sometimes followed by gains, also translated to japanese; this looks a lot like the EFGH version of Bechara, Tranel &amp; Damasio 2000 but in the methods section there is no reference and no mention that this is a replication either - Bechara, Tranel &amp; Damasio 2000 is referenced in the introduction though and authors state they are "using the modified IGT" (p.454) which I judge explicit enough to assume that they use this version </t>
  </si>
  <si>
    <t>version described by Windmann 2006 was used, this refers to Bechara, Tranel &amp; Damasio 2000, fig.1 (ABCD); quote p. 1125: "All instructions were identical with the manual version of the Iowa Gambling Task described by Bechara, Tranel,  (2000) and were presented in written form" --&gt; Bechara, Tranel &amp; Damasio 2000</t>
  </si>
  <si>
    <t>A'B'C'D version following Bechara, Tranel &amp; Damasio 2000; instructions given in the Appendix</t>
  </si>
  <si>
    <t>protocol described in Bechara, Tranel &amp; Damasio 2000 (E'F'G'H')</t>
  </si>
  <si>
    <t>E'F'G'H' version from Bechara, Tranel &amp; Damasio 2000, negative IGT version where immediate losses were sometimes followed by gains; instructions given in the Appendix</t>
  </si>
  <si>
    <t xml:space="preserve">reversed IGT, identical to Bechara, Tranel &amp; Damasio 2000 with standard instructions </t>
  </si>
  <si>
    <t xml:space="preserve">turkish adaption of the IGT, reference to Icellioglu 2015 (amount of info there is basically the same as in the given paper), which makes a reference to Bechara, Tranel &amp; Damasio 2000 and Bechara 1994; instructions seem roughly the same but there is a slight hint that the amount of money participants have at hand is displayed in the corner (= money total, which would be a deviation?), but not super clear what they actually see - would be a difference in feedback not in instructions though; there is also a switch in naming the decks from A,B,C,D to A',B',C',D' </t>
  </si>
  <si>
    <t>no info about exact version, Bechara 1994 and Bechara, Tranel &amp; Damasio 2000 are cited in parentheses, the decks are labeled A'B'C'D' and K'L'M'N' which may indicate a version or not; instructions are presented in the text and slightly modified (e.g. hint that performance is contributing to incentives)</t>
  </si>
  <si>
    <t>protocol described in Bechara, Tranel &amp; Damasio 2000 (ABCD)</t>
  </si>
  <si>
    <t>IGT standard protocol Bechara, Tranel &amp; Damasio 2000 (ABCD)</t>
  </si>
  <si>
    <t xml:space="preserve">cited Bechara 1994 and adds general task description; quote p.5: "A computerized version of this task was used (Bechara, 2001)." which references Bechara, Tranel &amp; Damasio 2000 and decribes the A'B'C'D' version </t>
  </si>
  <si>
    <t xml:space="preserve">Bechara, Tranel &amp; Damasio 2000 is cited in parentheses; feedback with emoticon and red and green bar + scale (0-8000) as a reference for the bars </t>
  </si>
  <si>
    <t>quote p.52: "The computerised version of the Iowa Gambling Task (Bechara, 2004; Bechara, 2000) was used to assess decision making based on initially implicit probabilities." --&gt; Bechara, Tranel &amp; Damasio 2000 + 2004 describes standard 1997 computerized version</t>
  </si>
  <si>
    <t>protocol described in Bechara, Damasio &amp; Damasio 2000 (ABCD)</t>
  </si>
  <si>
    <t>IGT procedure identical to Bechara, Damasio &amp; Damasio 2000</t>
  </si>
  <si>
    <t>quote p.1502:  "We used the computerized version of IGT for all subjects to assess decision-making under ambiguity", citation of Bechara, Damasio &amp; Damasio 2000. Not sure if this counts as a reference.</t>
  </si>
  <si>
    <t>quote p.480: "The computerized version of the IGT (Bechara, Damasio, &amp; Damasio, 2000) was adopted" --&gt; Bechara, Damasio &amp; Damasio 2000</t>
  </si>
  <si>
    <t>Bechara, Tranel &amp; Damasio 2000 cited in parentheses but not made explicit that their protocol was followed (and which one)</t>
  </si>
  <si>
    <t>no info on version in full-text; computerized version, Bechara 1994 cited, at the end there's a quote where Bechara is thanked for providing the computerized IGT --&gt; probably enough to fill in the cells???</t>
  </si>
  <si>
    <t>modified, gain loss schedule as in Bechara 1994 but only 1000 to start; 3 runs of the task with a different message each during trials (decks CD give more in the long run, decks AB give less in the long run or control message), counterbalanced order of messages; feedback was gain, loss or draw (not gain + loss); running total presented (see fig.1); "a few" exercise trials; 3s per trial, no-response trials are possible (=loss of 100 points)</t>
  </si>
  <si>
    <t xml:space="preserve">described in detail in Christakou 2009; MRI version; 12 exercise trials; 6s per trial; 50% chance of winning/losing on each deck; feedback red and green bar, emoticon? in fig.1 the currency of the loan is points but in the text the currency is pounds; Christakou 2009 references to Lawrence 2009; only gains or losses not gain and losses with each card; omission errors are possible, these trials are excluded from analyses </t>
  </si>
  <si>
    <t xml:space="preserve">quote p. 200: "The Iowa Gambling Task (IGT) (Bechara, 1994) was administered in a computerized version (E-Prime 2 software, Psychology Software Tools, Pittsburgh, PA, USA)."; this might indicate original 1994 protocol? E-Prime can't be examined so I went with the information I got from the text </t>
  </si>
  <si>
    <t>brief general description and no info on version</t>
  </si>
  <si>
    <t>140</t>
  </si>
  <si>
    <t>Goodie, Adam S.; Lakey, Chad E.</t>
  </si>
  <si>
    <t xml:space="preserve">brief general description and no info on version. Bechara, Damasio &amp; Damasio, 2000 is only referenced for an implicit learning process over the course of the task.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</si>
</sst>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family val="2"/>
    </font>
    <font>
      <b/>
      <sz val="11"/>
      <color theme="1"/>
      <name val="Calibri"/>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1" fillId="0" borderId="1" xfId="0" applyFont="1" applyBorder="1" applyAlignment="1">
      <alignment vertical="top"/>
    </xf>
    <xf numFmtId="0" fontId="11" fillId="0" borderId="0" xfId="0" applyFont="1" applyAlignment="1">
      <alignment vertical="top"/>
    </xf>
    <xf numFmtId="0" fontId="11" fillId="0" borderId="0" xfId="0" applyFont="1" applyAlignment="1">
      <alignment vertical="top" wrapText="1"/>
    </xf>
    <xf numFmtId="0" fontId="11" fillId="0" borderId="2" xfId="0" applyFont="1" applyBorder="1" applyAlignment="1">
      <alignment vertical="top" wrapText="1"/>
    </xf>
    <xf numFmtId="0" fontId="12" fillId="0" borderId="0" xfId="0" applyFont="1" applyAlignment="1">
      <alignment vertical="top"/>
    </xf>
    <xf numFmtId="0" fontId="12" fillId="0" borderId="0" xfId="0" applyFont="1" applyAlignment="1">
      <alignment vertical="top" wrapText="1"/>
    </xf>
    <xf numFmtId="0" fontId="12" fillId="0" borderId="0" xfId="0" applyFont="1"/>
    <xf numFmtId="0" fontId="14" fillId="0" borderId="2" xfId="0" applyFont="1" applyBorder="1" applyAlignment="1">
      <alignment vertical="top" wrapText="1"/>
    </xf>
    <xf numFmtId="49" fontId="0" fillId="0" borderId="3" xfId="0" applyNumberFormat="1" applyBorder="1" applyAlignment="1">
      <alignment horizontal="right"/>
    </xf>
    <xf numFmtId="0" fontId="0" fillId="0" borderId="3" xfId="0" applyBorder="1"/>
    <xf numFmtId="0" fontId="10" fillId="0" borderId="3" xfId="0" applyFont="1" applyBorder="1"/>
    <xf numFmtId="0" fontId="13" fillId="0" borderId="3" xfId="0" applyFont="1" applyBorder="1" applyAlignment="1">
      <alignment vertical="top"/>
    </xf>
    <xf numFmtId="0" fontId="6" fillId="0" borderId="3" xfId="0" applyFont="1" applyBorder="1"/>
    <xf numFmtId="0" fontId="10" fillId="0" borderId="0" xfId="0" applyFont="1"/>
    <xf numFmtId="0" fontId="3" fillId="0" borderId="3" xfId="0" applyFont="1" applyBorder="1"/>
    <xf numFmtId="0" fontId="2" fillId="0" borderId="3" xfId="0" applyFont="1" applyBorder="1"/>
    <xf numFmtId="0" fontId="9" fillId="0" borderId="3" xfId="0" applyFont="1" applyBorder="1"/>
    <xf numFmtId="9" fontId="0" fillId="0" borderId="3" xfId="0" applyNumberFormat="1" applyBorder="1"/>
    <xf numFmtId="0" fontId="12" fillId="0" borderId="3" xfId="0" applyFont="1" applyBorder="1" applyAlignment="1">
      <alignment vertical="top"/>
    </xf>
    <xf numFmtId="0" fontId="4" fillId="0" borderId="3" xfId="0" applyFont="1" applyBorder="1"/>
    <xf numFmtId="0" fontId="0" fillId="0" borderId="3" xfId="0" quotePrefix="1" applyBorder="1"/>
    <xf numFmtId="0" fontId="9" fillId="0" borderId="3" xfId="0" applyFont="1" applyBorder="1" applyAlignment="1">
      <alignment wrapText="1"/>
    </xf>
    <xf numFmtId="0" fontId="8" fillId="0" borderId="3" xfId="0" applyFont="1" applyBorder="1"/>
    <xf numFmtId="0" fontId="7" fillId="0" borderId="3" xfId="0" applyFont="1" applyBorder="1"/>
    <xf numFmtId="49" fontId="10" fillId="0" borderId="3" xfId="0" applyNumberFormat="1" applyFont="1" applyBorder="1" applyAlignment="1">
      <alignment horizontal="right"/>
    </xf>
    <xf numFmtId="3" fontId="0" fillId="0" borderId="3" xfId="0" applyNumberFormat="1" applyBorder="1"/>
    <xf numFmtId="0" fontId="5" fillId="0" borderId="3" xfId="0" applyFont="1" applyBorder="1"/>
    <xf numFmtId="0" fontId="0" fillId="0" borderId="3" xfId="0" applyBorder="1" applyAlignment="1">
      <alignment horizontal="right"/>
    </xf>
    <xf numFmtId="0" fontId="1" fillId="0" borderId="3" xfId="0" applyFont="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4C0B9"/>
      </a:accent1>
      <a:accent2>
        <a:srgbClr val="A6B727"/>
      </a:accent2>
      <a:accent3>
        <a:srgbClr val="FEC306"/>
      </a:accent3>
      <a:accent4>
        <a:srgbClr val="F68A1E"/>
      </a:accent4>
      <a:accent5>
        <a:srgbClr val="E85659"/>
      </a:accent5>
      <a:accent6>
        <a:srgbClr val="B347AB"/>
      </a:accent6>
      <a:hlink>
        <a:srgbClr val="3F42BF"/>
      </a:hlink>
      <a:folHlink>
        <a:srgbClr val="3F42B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00"/>
  <sheetViews>
    <sheetView tabSelected="1" topLeftCell="Y1" workbookViewId="0">
      <pane ySplit="1" topLeftCell="A85" activePane="bottomLeft" state="frozen"/>
      <selection pane="bottomLeft" activeCell="AD106" sqref="AD106"/>
    </sheetView>
  </sheetViews>
  <sheetFormatPr baseColWidth="10" defaultColWidth="14.42578125" defaultRowHeight="15" customHeight="1" x14ac:dyDescent="0.25"/>
  <cols>
    <col min="1" max="6" width="20.7109375" customWidth="1"/>
    <col min="7" max="7" width="38.28515625" customWidth="1"/>
    <col min="8" max="27" width="20.7109375" customWidth="1"/>
    <col min="28" max="28" width="23.7109375" customWidth="1"/>
    <col min="29" max="29" width="13.28515625" customWidth="1"/>
    <col min="30" max="30" width="39.42578125" customWidth="1"/>
    <col min="31" max="31" width="13.28515625" customWidth="1"/>
    <col min="32" max="32" width="14.42578125" customWidth="1"/>
    <col min="33" max="33" width="19.85546875" customWidth="1"/>
    <col min="34" max="34" width="49" customWidth="1"/>
  </cols>
  <sheetData>
    <row r="1" spans="1:3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c r="AF1" s="3"/>
      <c r="AG1" s="3"/>
      <c r="AH1" s="3"/>
    </row>
    <row r="2" spans="1:34" ht="291.75" customHeight="1" x14ac:dyDescent="0.25">
      <c r="A2" s="4" t="s">
        <v>30</v>
      </c>
      <c r="B2" s="4" t="s">
        <v>31</v>
      </c>
      <c r="C2" s="4" t="s">
        <v>32</v>
      </c>
      <c r="D2" s="4" t="s">
        <v>33</v>
      </c>
      <c r="E2" s="4" t="s">
        <v>34</v>
      </c>
      <c r="F2" s="4" t="s">
        <v>35</v>
      </c>
      <c r="G2" s="8" t="s">
        <v>36</v>
      </c>
      <c r="H2" s="4" t="s">
        <v>37</v>
      </c>
      <c r="I2" s="4" t="s">
        <v>38</v>
      </c>
      <c r="J2" s="4" t="s">
        <v>39</v>
      </c>
      <c r="K2" s="4" t="s">
        <v>40</v>
      </c>
      <c r="L2" s="4" t="s">
        <v>41</v>
      </c>
      <c r="M2" s="4" t="s">
        <v>42</v>
      </c>
      <c r="N2" s="4" t="s">
        <v>43</v>
      </c>
      <c r="O2" s="4" t="s">
        <v>44</v>
      </c>
      <c r="P2" s="4" t="s">
        <v>45</v>
      </c>
      <c r="Q2" s="4" t="s">
        <v>46</v>
      </c>
      <c r="R2" s="4" t="s">
        <v>47</v>
      </c>
      <c r="S2" s="4" t="s">
        <v>48</v>
      </c>
      <c r="T2" s="4" t="s">
        <v>49</v>
      </c>
      <c r="U2" s="4" t="s">
        <v>50</v>
      </c>
      <c r="V2" s="4" t="s">
        <v>51</v>
      </c>
      <c r="W2" s="4" t="s">
        <v>52</v>
      </c>
      <c r="X2" s="4" t="s">
        <v>53</v>
      </c>
      <c r="Y2" s="4" t="s">
        <v>54</v>
      </c>
      <c r="Z2" s="4" t="s">
        <v>55</v>
      </c>
      <c r="AA2" s="4" t="s">
        <v>56</v>
      </c>
      <c r="AB2" s="4" t="s">
        <v>57</v>
      </c>
      <c r="AC2" s="4" t="s">
        <v>58</v>
      </c>
      <c r="AD2" s="4" t="s">
        <v>59</v>
      </c>
      <c r="AE2" s="3"/>
      <c r="AF2" s="3"/>
      <c r="AG2" s="3"/>
      <c r="AH2" s="3"/>
    </row>
    <row r="3" spans="1:34" x14ac:dyDescent="0.25">
      <c r="A3" s="9" t="s">
        <v>69</v>
      </c>
      <c r="B3" s="10" t="s">
        <v>72</v>
      </c>
      <c r="C3" s="10" t="s">
        <v>73</v>
      </c>
      <c r="D3" s="10" t="s">
        <v>60</v>
      </c>
      <c r="E3" s="10">
        <v>115</v>
      </c>
      <c r="F3" s="11" t="s">
        <v>60</v>
      </c>
      <c r="G3" s="12" t="s">
        <v>61</v>
      </c>
      <c r="H3" s="11" t="s">
        <v>65</v>
      </c>
      <c r="I3" s="11" t="s">
        <v>61</v>
      </c>
      <c r="J3" s="10" t="s">
        <v>61</v>
      </c>
      <c r="K3" s="10" t="s">
        <v>61</v>
      </c>
      <c r="L3" s="11" t="s">
        <v>304</v>
      </c>
      <c r="M3" s="10">
        <v>2000</v>
      </c>
      <c r="N3" s="10" t="s">
        <v>61</v>
      </c>
      <c r="O3" s="10" t="s">
        <v>61</v>
      </c>
      <c r="P3" s="10" t="s">
        <v>61</v>
      </c>
      <c r="Q3" s="10" t="s">
        <v>61</v>
      </c>
      <c r="R3" s="10" t="s">
        <v>61</v>
      </c>
      <c r="S3" s="10" t="s">
        <v>61</v>
      </c>
      <c r="T3" s="10" t="s">
        <v>61</v>
      </c>
      <c r="U3" s="10" t="s">
        <v>61</v>
      </c>
      <c r="V3" s="10" t="s">
        <v>61</v>
      </c>
      <c r="W3" s="10" t="s">
        <v>61</v>
      </c>
      <c r="X3" s="10" t="s">
        <v>61</v>
      </c>
      <c r="Y3" s="10" t="s">
        <v>61</v>
      </c>
      <c r="Z3" s="10" t="s">
        <v>61</v>
      </c>
      <c r="AA3" s="10" t="s">
        <v>61</v>
      </c>
      <c r="AB3" s="10">
        <v>5</v>
      </c>
      <c r="AC3" s="10">
        <v>100</v>
      </c>
      <c r="AD3" s="13" t="s">
        <v>414</v>
      </c>
      <c r="AE3" s="5"/>
      <c r="AF3" s="6"/>
      <c r="AG3" s="6"/>
      <c r="AH3" s="6"/>
    </row>
    <row r="4" spans="1:34" x14ac:dyDescent="0.25">
      <c r="A4" s="9" t="s">
        <v>74</v>
      </c>
      <c r="B4" s="10" t="s">
        <v>75</v>
      </c>
      <c r="C4" s="10" t="s">
        <v>76</v>
      </c>
      <c r="D4" s="10" t="s">
        <v>60</v>
      </c>
      <c r="E4" s="10">
        <v>102</v>
      </c>
      <c r="F4" s="11" t="s">
        <v>60</v>
      </c>
      <c r="G4" s="12" t="s">
        <v>61</v>
      </c>
      <c r="H4" s="11" t="s">
        <v>65</v>
      </c>
      <c r="I4" s="10" t="s">
        <v>61</v>
      </c>
      <c r="J4" s="10" t="s">
        <v>61</v>
      </c>
      <c r="K4" s="10" t="s">
        <v>61</v>
      </c>
      <c r="L4" s="11" t="s">
        <v>61</v>
      </c>
      <c r="M4" s="10" t="s">
        <v>61</v>
      </c>
      <c r="N4" s="10" t="s">
        <v>61</v>
      </c>
      <c r="O4" s="10" t="s">
        <v>61</v>
      </c>
      <c r="P4" s="10" t="s">
        <v>61</v>
      </c>
      <c r="Q4" s="10" t="s">
        <v>61</v>
      </c>
      <c r="R4" s="10" t="s">
        <v>61</v>
      </c>
      <c r="S4" s="10" t="s">
        <v>61</v>
      </c>
      <c r="T4" s="10" t="s">
        <v>61</v>
      </c>
      <c r="U4" s="10" t="s">
        <v>61</v>
      </c>
      <c r="V4" s="10" t="s">
        <v>61</v>
      </c>
      <c r="W4" s="10" t="s">
        <v>61</v>
      </c>
      <c r="X4" s="10" t="s">
        <v>61</v>
      </c>
      <c r="Y4" s="10" t="s">
        <v>61</v>
      </c>
      <c r="Z4" s="10" t="s">
        <v>61</v>
      </c>
      <c r="AA4" s="10" t="s">
        <v>61</v>
      </c>
      <c r="AB4" s="10">
        <v>5</v>
      </c>
      <c r="AC4" s="10">
        <v>100</v>
      </c>
      <c r="AD4" s="14" t="s">
        <v>381</v>
      </c>
      <c r="AE4" s="5"/>
      <c r="AF4" s="6"/>
      <c r="AG4" s="6"/>
      <c r="AH4" s="6"/>
    </row>
    <row r="5" spans="1:34" x14ac:dyDescent="0.25">
      <c r="A5" s="9" t="s">
        <v>77</v>
      </c>
      <c r="B5" s="10" t="s">
        <v>78</v>
      </c>
      <c r="C5" s="10" t="s">
        <v>79</v>
      </c>
      <c r="D5" s="10" t="s">
        <v>60</v>
      </c>
      <c r="E5" s="10">
        <f>87+41</f>
        <v>128</v>
      </c>
      <c r="F5" s="11" t="s">
        <v>60</v>
      </c>
      <c r="G5" s="12" t="s">
        <v>61</v>
      </c>
      <c r="H5" s="11" t="s">
        <v>65</v>
      </c>
      <c r="I5" s="10" t="s">
        <v>61</v>
      </c>
      <c r="J5" s="10" t="s">
        <v>61</v>
      </c>
      <c r="K5" s="10" t="s">
        <v>61</v>
      </c>
      <c r="L5" s="10" t="s">
        <v>305</v>
      </c>
      <c r="M5" s="10">
        <v>2000</v>
      </c>
      <c r="N5" s="10" t="s">
        <v>61</v>
      </c>
      <c r="O5" s="10" t="s">
        <v>61</v>
      </c>
      <c r="P5" s="10" t="s">
        <v>61</v>
      </c>
      <c r="Q5" s="10" t="s">
        <v>61</v>
      </c>
      <c r="R5" s="10" t="s">
        <v>61</v>
      </c>
      <c r="S5" s="10" t="s">
        <v>61</v>
      </c>
      <c r="T5" s="10" t="s">
        <v>61</v>
      </c>
      <c r="U5" s="10" t="s">
        <v>61</v>
      </c>
      <c r="V5" s="10" t="s">
        <v>61</v>
      </c>
      <c r="W5" s="10" t="s">
        <v>61</v>
      </c>
      <c r="X5" s="10" t="s">
        <v>61</v>
      </c>
      <c r="Y5" s="10" t="s">
        <v>61</v>
      </c>
      <c r="Z5" s="10" t="s">
        <v>61</v>
      </c>
      <c r="AA5" s="10" t="s">
        <v>61</v>
      </c>
      <c r="AB5" s="10" t="s">
        <v>60</v>
      </c>
      <c r="AC5" s="10">
        <v>100</v>
      </c>
      <c r="AD5" s="11" t="s">
        <v>306</v>
      </c>
      <c r="AE5" s="5"/>
      <c r="AF5" s="6"/>
      <c r="AG5" s="6"/>
      <c r="AH5" s="6"/>
    </row>
    <row r="6" spans="1:34" x14ac:dyDescent="0.25">
      <c r="A6" s="9" t="s">
        <v>80</v>
      </c>
      <c r="B6" s="10" t="s">
        <v>81</v>
      </c>
      <c r="C6" s="10" t="s">
        <v>82</v>
      </c>
      <c r="D6" s="10" t="s">
        <v>60</v>
      </c>
      <c r="E6" s="10">
        <v>10</v>
      </c>
      <c r="F6" s="11" t="s">
        <v>60</v>
      </c>
      <c r="G6" s="12" t="s">
        <v>61</v>
      </c>
      <c r="H6" s="10" t="s">
        <v>61</v>
      </c>
      <c r="I6" s="10" t="s">
        <v>61</v>
      </c>
      <c r="J6" s="10" t="s">
        <v>61</v>
      </c>
      <c r="K6" s="10" t="s">
        <v>61</v>
      </c>
      <c r="L6" s="10" t="s">
        <v>61</v>
      </c>
      <c r="M6" s="10" t="s">
        <v>61</v>
      </c>
      <c r="N6" s="10" t="s">
        <v>61</v>
      </c>
      <c r="O6" s="10" t="s">
        <v>61</v>
      </c>
      <c r="P6" s="10" t="s">
        <v>61</v>
      </c>
      <c r="Q6" s="10" t="s">
        <v>61</v>
      </c>
      <c r="R6" s="10" t="s">
        <v>61</v>
      </c>
      <c r="S6" s="10" t="s">
        <v>61</v>
      </c>
      <c r="T6" s="10" t="s">
        <v>61</v>
      </c>
      <c r="U6" s="10" t="s">
        <v>61</v>
      </c>
      <c r="V6" s="10" t="s">
        <v>61</v>
      </c>
      <c r="W6" s="10" t="s">
        <v>61</v>
      </c>
      <c r="X6" s="10" t="s">
        <v>61</v>
      </c>
      <c r="Y6" s="10" t="s">
        <v>61</v>
      </c>
      <c r="Z6" s="10" t="s">
        <v>61</v>
      </c>
      <c r="AA6" s="10" t="s">
        <v>61</v>
      </c>
      <c r="AB6" s="15" t="s">
        <v>60</v>
      </c>
      <c r="AC6" s="10">
        <v>100</v>
      </c>
      <c r="AD6" s="10" t="s">
        <v>291</v>
      </c>
      <c r="AE6" s="5"/>
      <c r="AF6" s="6"/>
      <c r="AG6" s="6"/>
      <c r="AH6" s="6"/>
    </row>
    <row r="7" spans="1:34" x14ac:dyDescent="0.25">
      <c r="A7" s="9" t="s">
        <v>83</v>
      </c>
      <c r="B7" s="10" t="s">
        <v>84</v>
      </c>
      <c r="C7" s="10" t="s">
        <v>85</v>
      </c>
      <c r="D7" s="10" t="s">
        <v>60</v>
      </c>
      <c r="E7" s="10">
        <v>48</v>
      </c>
      <c r="F7" s="11" t="s">
        <v>60</v>
      </c>
      <c r="G7" s="12" t="s">
        <v>61</v>
      </c>
      <c r="H7" s="11" t="s">
        <v>65</v>
      </c>
      <c r="I7" s="10" t="s">
        <v>66</v>
      </c>
      <c r="J7" s="11" t="s">
        <v>61</v>
      </c>
      <c r="K7" s="10" t="s">
        <v>61</v>
      </c>
      <c r="L7" s="11" t="s">
        <v>61</v>
      </c>
      <c r="M7" s="10" t="s">
        <v>61</v>
      </c>
      <c r="N7" s="10" t="s">
        <v>61</v>
      </c>
      <c r="O7" s="10" t="s">
        <v>61</v>
      </c>
      <c r="P7" s="10" t="s">
        <v>61</v>
      </c>
      <c r="Q7" s="10" t="s">
        <v>61</v>
      </c>
      <c r="R7" s="10" t="s">
        <v>61</v>
      </c>
      <c r="S7" s="10" t="s">
        <v>61</v>
      </c>
      <c r="T7" s="10" t="s">
        <v>61</v>
      </c>
      <c r="U7" s="10" t="s">
        <v>61</v>
      </c>
      <c r="V7" s="10" t="s">
        <v>61</v>
      </c>
      <c r="W7" s="10" t="s">
        <v>61</v>
      </c>
      <c r="X7" s="10" t="s">
        <v>61</v>
      </c>
      <c r="Y7" s="10" t="s">
        <v>61</v>
      </c>
      <c r="Z7" s="10" t="s">
        <v>61</v>
      </c>
      <c r="AA7" s="10" t="s">
        <v>61</v>
      </c>
      <c r="AB7" s="10" t="s">
        <v>60</v>
      </c>
      <c r="AC7" s="10">
        <v>100</v>
      </c>
      <c r="AD7" s="11" t="s">
        <v>307</v>
      </c>
      <c r="AE7" s="5"/>
      <c r="AF7" s="6"/>
      <c r="AG7" s="6"/>
      <c r="AH7" s="6"/>
    </row>
    <row r="8" spans="1:34" x14ac:dyDescent="0.25">
      <c r="A8" s="9" t="s">
        <v>86</v>
      </c>
      <c r="B8" s="10" t="s">
        <v>87</v>
      </c>
      <c r="C8" s="10" t="s">
        <v>88</v>
      </c>
      <c r="D8" s="10" t="s">
        <v>60</v>
      </c>
      <c r="E8" s="10">
        <v>18</v>
      </c>
      <c r="F8" s="11" t="s">
        <v>60</v>
      </c>
      <c r="G8" s="12" t="s">
        <v>61</v>
      </c>
      <c r="H8" s="11" t="s">
        <v>65</v>
      </c>
      <c r="I8" s="10" t="s">
        <v>61</v>
      </c>
      <c r="J8" s="10" t="s">
        <v>61</v>
      </c>
      <c r="K8" s="10" t="s">
        <v>61</v>
      </c>
      <c r="L8" s="10" t="s">
        <v>294</v>
      </c>
      <c r="M8" s="11" t="s">
        <v>61</v>
      </c>
      <c r="N8" s="10" t="s">
        <v>61</v>
      </c>
      <c r="O8" s="10" t="s">
        <v>61</v>
      </c>
      <c r="P8" s="10" t="s">
        <v>61</v>
      </c>
      <c r="Q8" s="10" t="s">
        <v>61</v>
      </c>
      <c r="R8" s="10" t="s">
        <v>61</v>
      </c>
      <c r="S8" s="10" t="s">
        <v>61</v>
      </c>
      <c r="T8" s="10" t="s">
        <v>61</v>
      </c>
      <c r="U8" s="10" t="s">
        <v>61</v>
      </c>
      <c r="V8" s="10" t="s">
        <v>61</v>
      </c>
      <c r="W8" s="10" t="s">
        <v>61</v>
      </c>
      <c r="X8" s="10" t="s">
        <v>61</v>
      </c>
      <c r="Y8" s="10" t="s">
        <v>61</v>
      </c>
      <c r="Z8" s="10" t="s">
        <v>61</v>
      </c>
      <c r="AA8" s="10" t="s">
        <v>61</v>
      </c>
      <c r="AB8" s="10" t="s">
        <v>60</v>
      </c>
      <c r="AC8" s="10">
        <v>100</v>
      </c>
      <c r="AD8" s="11" t="s">
        <v>308</v>
      </c>
      <c r="AE8" s="5"/>
      <c r="AF8" s="6"/>
      <c r="AG8" s="6"/>
      <c r="AH8" s="6"/>
    </row>
    <row r="9" spans="1:34" x14ac:dyDescent="0.25">
      <c r="A9" s="9" t="s">
        <v>89</v>
      </c>
      <c r="B9" s="10" t="s">
        <v>90</v>
      </c>
      <c r="C9" s="10" t="s">
        <v>79</v>
      </c>
      <c r="D9" s="10" t="s">
        <v>60</v>
      </c>
      <c r="E9" s="10">
        <v>134</v>
      </c>
      <c r="F9" s="11" t="s">
        <v>60</v>
      </c>
      <c r="G9" s="12" t="s">
        <v>61</v>
      </c>
      <c r="H9" s="10" t="s">
        <v>61</v>
      </c>
      <c r="I9" s="10" t="s">
        <v>61</v>
      </c>
      <c r="J9" s="10" t="s">
        <v>61</v>
      </c>
      <c r="K9" s="10" t="s">
        <v>61</v>
      </c>
      <c r="L9" s="10" t="s">
        <v>61</v>
      </c>
      <c r="M9" s="10" t="s">
        <v>61</v>
      </c>
      <c r="N9" s="10" t="s">
        <v>61</v>
      </c>
      <c r="O9" s="10" t="s">
        <v>61</v>
      </c>
      <c r="P9" s="10" t="s">
        <v>61</v>
      </c>
      <c r="Q9" s="10" t="s">
        <v>61</v>
      </c>
      <c r="R9" s="10" t="s">
        <v>61</v>
      </c>
      <c r="S9" s="10" t="s">
        <v>61</v>
      </c>
      <c r="T9" s="10" t="s">
        <v>61</v>
      </c>
      <c r="U9" s="10" t="s">
        <v>61</v>
      </c>
      <c r="V9" s="10" t="s">
        <v>61</v>
      </c>
      <c r="W9" s="10" t="s">
        <v>61</v>
      </c>
      <c r="X9" s="10" t="s">
        <v>61</v>
      </c>
      <c r="Y9" s="10" t="s">
        <v>61</v>
      </c>
      <c r="Z9" s="10" t="s">
        <v>61</v>
      </c>
      <c r="AA9" s="10" t="s">
        <v>61</v>
      </c>
      <c r="AB9" s="10" t="s">
        <v>60</v>
      </c>
      <c r="AC9" s="10" t="s">
        <v>61</v>
      </c>
      <c r="AD9" s="16" t="s">
        <v>438</v>
      </c>
      <c r="AE9" s="5"/>
      <c r="AF9" s="6"/>
      <c r="AG9" s="6"/>
      <c r="AH9" s="6"/>
    </row>
    <row r="10" spans="1:34" x14ac:dyDescent="0.25">
      <c r="A10" s="9" t="s">
        <v>91</v>
      </c>
      <c r="B10" s="10" t="s">
        <v>92</v>
      </c>
      <c r="C10" s="10" t="s">
        <v>93</v>
      </c>
      <c r="D10" s="10" t="s">
        <v>287</v>
      </c>
      <c r="E10" s="10">
        <v>56</v>
      </c>
      <c r="F10" s="11" t="s">
        <v>60</v>
      </c>
      <c r="G10" s="12" t="s">
        <v>309</v>
      </c>
      <c r="H10" s="10" t="s">
        <v>61</v>
      </c>
      <c r="I10" s="10" t="s">
        <v>61</v>
      </c>
      <c r="J10" s="17" t="s">
        <v>61</v>
      </c>
      <c r="K10" s="17" t="s">
        <v>313</v>
      </c>
      <c r="L10" s="10" t="s">
        <v>295</v>
      </c>
      <c r="M10" s="10">
        <v>2000</v>
      </c>
      <c r="N10" s="10">
        <v>50</v>
      </c>
      <c r="O10" s="10">
        <v>100</v>
      </c>
      <c r="P10" s="10">
        <v>250</v>
      </c>
      <c r="Q10" s="10">
        <v>250</v>
      </c>
      <c r="R10" s="10">
        <v>-250</v>
      </c>
      <c r="S10" s="10">
        <v>-250</v>
      </c>
      <c r="T10" s="10">
        <v>10</v>
      </c>
      <c r="U10" s="10">
        <v>10</v>
      </c>
      <c r="V10" s="10">
        <v>10</v>
      </c>
      <c r="W10" s="10">
        <v>10</v>
      </c>
      <c r="X10" s="18">
        <v>0.5</v>
      </c>
      <c r="Y10" s="18">
        <v>0.1</v>
      </c>
      <c r="Z10" s="18">
        <v>0.5</v>
      </c>
      <c r="AA10" s="18">
        <v>0.1</v>
      </c>
      <c r="AB10" s="10">
        <v>5</v>
      </c>
      <c r="AC10" s="10">
        <v>100</v>
      </c>
      <c r="AD10" s="17" t="s">
        <v>310</v>
      </c>
      <c r="AE10" s="5"/>
      <c r="AF10" s="6"/>
      <c r="AG10" s="6"/>
      <c r="AH10" s="6"/>
    </row>
    <row r="11" spans="1:34" x14ac:dyDescent="0.25">
      <c r="A11" s="9" t="s">
        <v>94</v>
      </c>
      <c r="B11" s="10" t="s">
        <v>95</v>
      </c>
      <c r="C11" s="10" t="s">
        <v>96</v>
      </c>
      <c r="D11" s="10" t="s">
        <v>60</v>
      </c>
      <c r="E11" s="10">
        <v>5227</v>
      </c>
      <c r="F11" s="11" t="s">
        <v>60</v>
      </c>
      <c r="G11" s="19" t="s">
        <v>403</v>
      </c>
      <c r="H11" s="10" t="s">
        <v>65</v>
      </c>
      <c r="I11" s="10" t="s">
        <v>70</v>
      </c>
      <c r="J11" s="10" t="s">
        <v>71</v>
      </c>
      <c r="K11" s="17" t="s">
        <v>313</v>
      </c>
      <c r="L11" s="10" t="s">
        <v>304</v>
      </c>
      <c r="M11" s="10" t="s">
        <v>61</v>
      </c>
      <c r="N11" s="10">
        <v>50</v>
      </c>
      <c r="O11" s="10">
        <v>100</v>
      </c>
      <c r="P11" s="10">
        <v>187.5</v>
      </c>
      <c r="Q11" s="10">
        <v>250</v>
      </c>
      <c r="R11" s="10">
        <v>-250</v>
      </c>
      <c r="S11" s="10">
        <v>-250</v>
      </c>
      <c r="T11" s="10">
        <v>10</v>
      </c>
      <c r="U11" s="10">
        <v>10</v>
      </c>
      <c r="V11" s="10">
        <v>10</v>
      </c>
      <c r="W11" s="10">
        <v>10</v>
      </c>
      <c r="X11" s="18">
        <v>0.25</v>
      </c>
      <c r="Y11" s="18">
        <v>0.1</v>
      </c>
      <c r="Z11" s="18">
        <v>0.5</v>
      </c>
      <c r="AA11" s="18">
        <v>0.1</v>
      </c>
      <c r="AB11" s="10">
        <v>6</v>
      </c>
      <c r="AC11" s="10">
        <v>120</v>
      </c>
      <c r="AD11" s="20" t="s">
        <v>404</v>
      </c>
      <c r="AE11" s="5"/>
      <c r="AF11" s="6"/>
      <c r="AG11" s="6"/>
      <c r="AH11" s="6"/>
    </row>
    <row r="12" spans="1:34" x14ac:dyDescent="0.25">
      <c r="A12" s="9" t="s">
        <v>97</v>
      </c>
      <c r="B12" s="10" t="s">
        <v>98</v>
      </c>
      <c r="C12" s="10" t="s">
        <v>96</v>
      </c>
      <c r="D12" s="10" t="s">
        <v>60</v>
      </c>
      <c r="E12" s="10">
        <v>70</v>
      </c>
      <c r="F12" s="11" t="s">
        <v>60</v>
      </c>
      <c r="G12" s="19" t="s">
        <v>311</v>
      </c>
      <c r="H12" s="10" t="s">
        <v>65</v>
      </c>
      <c r="I12" s="10" t="s">
        <v>70</v>
      </c>
      <c r="J12" s="10" t="s">
        <v>71</v>
      </c>
      <c r="K12" s="10" t="s">
        <v>61</v>
      </c>
      <c r="L12" s="10" t="s">
        <v>304</v>
      </c>
      <c r="M12" s="10">
        <v>2000</v>
      </c>
      <c r="N12" s="10" t="s">
        <v>392</v>
      </c>
      <c r="O12" s="10" t="s">
        <v>393</v>
      </c>
      <c r="P12" s="10" t="s">
        <v>394</v>
      </c>
      <c r="Q12" s="10" t="s">
        <v>394</v>
      </c>
      <c r="R12" s="21" t="s">
        <v>395</v>
      </c>
      <c r="S12" s="21" t="s">
        <v>395</v>
      </c>
      <c r="T12" s="10">
        <v>10</v>
      </c>
      <c r="U12" s="10">
        <v>10</v>
      </c>
      <c r="V12" s="10">
        <v>10</v>
      </c>
      <c r="W12" s="10">
        <v>10</v>
      </c>
      <c r="X12" s="10" t="s">
        <v>396</v>
      </c>
      <c r="Y12" s="18">
        <v>0.1</v>
      </c>
      <c r="Z12" s="10" t="s">
        <v>396</v>
      </c>
      <c r="AA12" s="18">
        <v>0.1</v>
      </c>
      <c r="AB12" s="10">
        <v>5</v>
      </c>
      <c r="AC12" s="10">
        <v>100</v>
      </c>
      <c r="AD12" s="10" t="s">
        <v>389</v>
      </c>
      <c r="AE12" s="5"/>
      <c r="AF12" s="6"/>
      <c r="AG12" s="6"/>
      <c r="AH12" s="6"/>
    </row>
    <row r="13" spans="1:34" x14ac:dyDescent="0.25">
      <c r="A13" s="9" t="s">
        <v>99</v>
      </c>
      <c r="B13" s="10" t="s">
        <v>100</v>
      </c>
      <c r="C13" s="10" t="s">
        <v>82</v>
      </c>
      <c r="D13" s="10" t="s">
        <v>60</v>
      </c>
      <c r="E13" s="10">
        <f>58+74</f>
        <v>132</v>
      </c>
      <c r="F13" s="11" t="s">
        <v>60</v>
      </c>
      <c r="G13" s="19" t="s">
        <v>61</v>
      </c>
      <c r="H13" s="10" t="s">
        <v>65</v>
      </c>
      <c r="I13" s="10" t="s">
        <v>61</v>
      </c>
      <c r="J13" s="10" t="s">
        <v>61</v>
      </c>
      <c r="K13" s="17" t="s">
        <v>313</v>
      </c>
      <c r="L13" s="10" t="s">
        <v>61</v>
      </c>
      <c r="M13" s="10" t="s">
        <v>61</v>
      </c>
      <c r="N13" s="10" t="s">
        <v>61</v>
      </c>
      <c r="O13" s="10" t="s">
        <v>61</v>
      </c>
      <c r="P13" s="10" t="s">
        <v>61</v>
      </c>
      <c r="Q13" s="10" t="s">
        <v>61</v>
      </c>
      <c r="R13" s="10" t="s">
        <v>61</v>
      </c>
      <c r="S13" s="10" t="s">
        <v>61</v>
      </c>
      <c r="T13" s="10" t="s">
        <v>61</v>
      </c>
      <c r="U13" s="10" t="s">
        <v>61</v>
      </c>
      <c r="V13" s="10" t="s">
        <v>61</v>
      </c>
      <c r="W13" s="10" t="s">
        <v>61</v>
      </c>
      <c r="X13" s="10" t="s">
        <v>61</v>
      </c>
      <c r="Y13" s="10" t="s">
        <v>61</v>
      </c>
      <c r="Z13" s="10" t="s">
        <v>61</v>
      </c>
      <c r="AA13" s="10" t="s">
        <v>61</v>
      </c>
      <c r="AB13" s="10" t="s">
        <v>60</v>
      </c>
      <c r="AC13" s="10">
        <v>100</v>
      </c>
      <c r="AD13" s="10" t="s">
        <v>415</v>
      </c>
      <c r="AE13" s="5"/>
      <c r="AF13" s="6"/>
      <c r="AG13" s="6"/>
      <c r="AH13" s="6"/>
    </row>
    <row r="14" spans="1:34" x14ac:dyDescent="0.25">
      <c r="A14" s="9" t="s">
        <v>101</v>
      </c>
      <c r="B14" s="10" t="s">
        <v>102</v>
      </c>
      <c r="C14" s="10" t="s">
        <v>85</v>
      </c>
      <c r="D14" s="10" t="s">
        <v>60</v>
      </c>
      <c r="E14" s="10">
        <v>64</v>
      </c>
      <c r="F14" s="11" t="s">
        <v>60</v>
      </c>
      <c r="G14" s="12" t="s">
        <v>61</v>
      </c>
      <c r="H14" s="17" t="s">
        <v>65</v>
      </c>
      <c r="I14" s="10" t="s">
        <v>61</v>
      </c>
      <c r="J14" s="17" t="s">
        <v>71</v>
      </c>
      <c r="K14" s="17" t="s">
        <v>313</v>
      </c>
      <c r="L14" s="10" t="s">
        <v>304</v>
      </c>
      <c r="M14" s="10">
        <v>2000</v>
      </c>
      <c r="N14" s="10">
        <v>50</v>
      </c>
      <c r="O14" s="10">
        <v>100</v>
      </c>
      <c r="P14" s="10">
        <v>250</v>
      </c>
      <c r="Q14" s="10">
        <v>250</v>
      </c>
      <c r="R14" s="10">
        <v>-250</v>
      </c>
      <c r="S14" s="10">
        <v>-250</v>
      </c>
      <c r="T14" s="10">
        <v>10</v>
      </c>
      <c r="U14" s="10">
        <v>10</v>
      </c>
      <c r="V14" s="10">
        <v>10</v>
      </c>
      <c r="W14" s="10">
        <v>10</v>
      </c>
      <c r="X14" s="18">
        <v>0.5</v>
      </c>
      <c r="Y14" s="18">
        <v>0.1</v>
      </c>
      <c r="Z14" s="18">
        <v>0.5</v>
      </c>
      <c r="AA14" s="18">
        <v>0.1</v>
      </c>
      <c r="AB14" s="10">
        <v>5</v>
      </c>
      <c r="AC14" s="10">
        <v>100</v>
      </c>
      <c r="AD14" s="17" t="s">
        <v>312</v>
      </c>
      <c r="AE14" s="5"/>
      <c r="AF14" s="6"/>
      <c r="AG14" s="6"/>
      <c r="AH14" s="6"/>
    </row>
    <row r="15" spans="1:34" ht="15.75" customHeight="1" x14ac:dyDescent="0.25">
      <c r="A15" s="9" t="s">
        <v>103</v>
      </c>
      <c r="B15" s="10" t="s">
        <v>104</v>
      </c>
      <c r="C15" s="10" t="s">
        <v>105</v>
      </c>
      <c r="D15" s="10" t="s">
        <v>60</v>
      </c>
      <c r="E15" s="10">
        <v>88</v>
      </c>
      <c r="F15" s="11" t="s">
        <v>60</v>
      </c>
      <c r="G15" s="12" t="s">
        <v>314</v>
      </c>
      <c r="H15" s="10" t="s">
        <v>61</v>
      </c>
      <c r="I15" s="10" t="s">
        <v>66</v>
      </c>
      <c r="J15" s="10" t="s">
        <v>71</v>
      </c>
      <c r="K15" s="17" t="s">
        <v>313</v>
      </c>
      <c r="L15" s="10" t="s">
        <v>304</v>
      </c>
      <c r="M15" s="10">
        <v>2000</v>
      </c>
      <c r="N15" s="10">
        <v>50</v>
      </c>
      <c r="O15" s="10">
        <v>100</v>
      </c>
      <c r="P15" s="10">
        <v>250</v>
      </c>
      <c r="Q15" s="10">
        <v>250</v>
      </c>
      <c r="R15" s="10">
        <v>-250</v>
      </c>
      <c r="S15" s="10">
        <v>-250</v>
      </c>
      <c r="T15" s="10">
        <v>10</v>
      </c>
      <c r="U15" s="10">
        <v>10</v>
      </c>
      <c r="V15" s="10">
        <v>10</v>
      </c>
      <c r="W15" s="10">
        <v>10</v>
      </c>
      <c r="X15" s="18">
        <v>0.5</v>
      </c>
      <c r="Y15" s="18">
        <v>0.1</v>
      </c>
      <c r="Z15" s="18">
        <v>0.5</v>
      </c>
      <c r="AA15" s="18">
        <v>0.1</v>
      </c>
      <c r="AB15" s="10" t="s">
        <v>60</v>
      </c>
      <c r="AC15" s="10">
        <v>100</v>
      </c>
      <c r="AD15" s="20" t="s">
        <v>397</v>
      </c>
      <c r="AE15" s="5"/>
      <c r="AF15" s="6"/>
      <c r="AG15" s="6"/>
      <c r="AH15" s="6"/>
    </row>
    <row r="16" spans="1:34" ht="15.75" customHeight="1" x14ac:dyDescent="0.25">
      <c r="A16" s="9" t="s">
        <v>106</v>
      </c>
      <c r="B16" s="10" t="s">
        <v>107</v>
      </c>
      <c r="C16" s="10" t="s">
        <v>108</v>
      </c>
      <c r="D16" s="10" t="s">
        <v>288</v>
      </c>
      <c r="E16" s="10">
        <v>51</v>
      </c>
      <c r="F16" s="11" t="s">
        <v>60</v>
      </c>
      <c r="G16" s="12" t="s">
        <v>61</v>
      </c>
      <c r="H16" s="17" t="s">
        <v>65</v>
      </c>
      <c r="I16" s="17" t="s">
        <v>61</v>
      </c>
      <c r="J16" s="17" t="s">
        <v>61</v>
      </c>
      <c r="K16" s="10" t="s">
        <v>61</v>
      </c>
      <c r="L16" s="10" t="s">
        <v>304</v>
      </c>
      <c r="M16" s="10">
        <v>2000</v>
      </c>
      <c r="N16" s="10">
        <v>50</v>
      </c>
      <c r="O16" s="10">
        <v>100</v>
      </c>
      <c r="P16" s="10">
        <v>250</v>
      </c>
      <c r="Q16" s="10">
        <v>250</v>
      </c>
      <c r="R16" s="10">
        <v>-250</v>
      </c>
      <c r="S16" s="10">
        <v>-250</v>
      </c>
      <c r="T16" s="10">
        <v>10</v>
      </c>
      <c r="U16" s="10">
        <v>10</v>
      </c>
      <c r="V16" s="10">
        <v>10</v>
      </c>
      <c r="W16" s="10">
        <v>10</v>
      </c>
      <c r="X16" s="18">
        <v>0.5</v>
      </c>
      <c r="Y16" s="18">
        <v>0.1</v>
      </c>
      <c r="Z16" s="18">
        <v>0.5</v>
      </c>
      <c r="AA16" s="18">
        <v>0.1</v>
      </c>
      <c r="AB16" s="10">
        <v>4</v>
      </c>
      <c r="AC16" s="10">
        <v>100</v>
      </c>
      <c r="AD16" s="17" t="s">
        <v>316</v>
      </c>
      <c r="AE16" s="5"/>
      <c r="AF16" s="6"/>
      <c r="AG16" s="6"/>
      <c r="AH16" s="6"/>
    </row>
    <row r="17" spans="1:34" ht="15.75" customHeight="1" x14ac:dyDescent="0.25">
      <c r="A17" s="9" t="s">
        <v>109</v>
      </c>
      <c r="B17" s="10" t="s">
        <v>110</v>
      </c>
      <c r="C17" s="10" t="s">
        <v>111</v>
      </c>
      <c r="D17" s="10" t="s">
        <v>60</v>
      </c>
      <c r="E17" s="10">
        <v>20</v>
      </c>
      <c r="F17" s="11" t="s">
        <v>60</v>
      </c>
      <c r="G17" s="12" t="s">
        <v>61</v>
      </c>
      <c r="H17" s="17" t="s">
        <v>65</v>
      </c>
      <c r="I17" s="17" t="s">
        <v>61</v>
      </c>
      <c r="J17" s="17" t="s">
        <v>61</v>
      </c>
      <c r="K17" s="10" t="s">
        <v>61</v>
      </c>
      <c r="L17" s="17" t="s">
        <v>61</v>
      </c>
      <c r="M17" s="10" t="s">
        <v>61</v>
      </c>
      <c r="N17" s="10" t="s">
        <v>61</v>
      </c>
      <c r="O17" s="10" t="s">
        <v>61</v>
      </c>
      <c r="P17" s="10" t="s">
        <v>61</v>
      </c>
      <c r="Q17" s="10" t="s">
        <v>61</v>
      </c>
      <c r="R17" s="10" t="s">
        <v>61</v>
      </c>
      <c r="S17" s="10" t="s">
        <v>61</v>
      </c>
      <c r="T17" s="10" t="s">
        <v>61</v>
      </c>
      <c r="U17" s="10" t="s">
        <v>61</v>
      </c>
      <c r="V17" s="10" t="s">
        <v>61</v>
      </c>
      <c r="W17" s="10" t="s">
        <v>61</v>
      </c>
      <c r="X17" s="10" t="s">
        <v>61</v>
      </c>
      <c r="Y17" s="10" t="s">
        <v>61</v>
      </c>
      <c r="Z17" s="10" t="s">
        <v>61</v>
      </c>
      <c r="AA17" s="10" t="s">
        <v>61</v>
      </c>
      <c r="AB17" s="10">
        <v>5</v>
      </c>
      <c r="AC17" s="10">
        <v>100</v>
      </c>
      <c r="AD17" s="17" t="s">
        <v>315</v>
      </c>
      <c r="AE17" s="5"/>
      <c r="AF17" s="6"/>
      <c r="AG17" s="6"/>
      <c r="AH17" s="6"/>
    </row>
    <row r="18" spans="1:34" ht="15.75" customHeight="1" x14ac:dyDescent="0.25">
      <c r="A18" s="9" t="s">
        <v>112</v>
      </c>
      <c r="B18" s="10" t="s">
        <v>113</v>
      </c>
      <c r="C18" s="10" t="s">
        <v>114</v>
      </c>
      <c r="D18" s="10" t="s">
        <v>60</v>
      </c>
      <c r="E18" s="10">
        <v>19</v>
      </c>
      <c r="F18" s="11" t="s">
        <v>60</v>
      </c>
      <c r="G18" s="12" t="s">
        <v>61</v>
      </c>
      <c r="H18" s="10" t="s">
        <v>61</v>
      </c>
      <c r="I18" s="10" t="s">
        <v>61</v>
      </c>
      <c r="J18" s="10" t="s">
        <v>61</v>
      </c>
      <c r="K18" s="10" t="s">
        <v>61</v>
      </c>
      <c r="L18" s="11" t="s">
        <v>304</v>
      </c>
      <c r="M18" s="10" t="s">
        <v>61</v>
      </c>
      <c r="N18" s="10">
        <v>50</v>
      </c>
      <c r="O18" s="10">
        <v>100</v>
      </c>
      <c r="P18" s="10" t="s">
        <v>61</v>
      </c>
      <c r="Q18" s="10" t="s">
        <v>61</v>
      </c>
      <c r="R18" s="10" t="s">
        <v>61</v>
      </c>
      <c r="S18" s="17" t="s">
        <v>61</v>
      </c>
      <c r="T18" s="10" t="s">
        <v>61</v>
      </c>
      <c r="U18" s="10" t="s">
        <v>61</v>
      </c>
      <c r="V18" s="10" t="s">
        <v>61</v>
      </c>
      <c r="W18" s="10" t="s">
        <v>61</v>
      </c>
      <c r="X18" s="10" t="s">
        <v>61</v>
      </c>
      <c r="Y18" s="10" t="s">
        <v>61</v>
      </c>
      <c r="Z18" s="10" t="s">
        <v>61</v>
      </c>
      <c r="AA18" s="10" t="s">
        <v>61</v>
      </c>
      <c r="AB18" s="10" t="s">
        <v>60</v>
      </c>
      <c r="AC18" s="10" t="s">
        <v>61</v>
      </c>
      <c r="AD18" s="17" t="s">
        <v>315</v>
      </c>
      <c r="AE18" s="5"/>
      <c r="AF18" s="6"/>
      <c r="AG18" s="6"/>
      <c r="AH18" s="6"/>
    </row>
    <row r="19" spans="1:34" ht="15.75" customHeight="1" x14ac:dyDescent="0.25">
      <c r="A19" s="9" t="s">
        <v>115</v>
      </c>
      <c r="B19" s="10" t="s">
        <v>116</v>
      </c>
      <c r="C19" s="10" t="s">
        <v>73</v>
      </c>
      <c r="D19" s="10" t="s">
        <v>60</v>
      </c>
      <c r="E19" s="10">
        <v>44</v>
      </c>
      <c r="F19" s="11" t="s">
        <v>60</v>
      </c>
      <c r="G19" s="12" t="s">
        <v>434</v>
      </c>
      <c r="H19" s="17" t="s">
        <v>65</v>
      </c>
      <c r="I19" s="17" t="s">
        <v>66</v>
      </c>
      <c r="J19" s="17" t="s">
        <v>67</v>
      </c>
      <c r="K19" s="10" t="s">
        <v>61</v>
      </c>
      <c r="L19" s="11" t="s">
        <v>304</v>
      </c>
      <c r="M19" s="10">
        <v>2000</v>
      </c>
      <c r="N19" s="10">
        <v>50</v>
      </c>
      <c r="O19" s="10">
        <v>100</v>
      </c>
      <c r="P19" s="10">
        <v>250</v>
      </c>
      <c r="Q19" s="10">
        <v>250</v>
      </c>
      <c r="R19" s="10">
        <v>-250</v>
      </c>
      <c r="S19" s="10">
        <v>-250</v>
      </c>
      <c r="T19" s="10">
        <v>10</v>
      </c>
      <c r="U19" s="10">
        <v>10</v>
      </c>
      <c r="V19" s="10">
        <v>10</v>
      </c>
      <c r="W19" s="10">
        <v>10</v>
      </c>
      <c r="X19" s="18">
        <v>0.5</v>
      </c>
      <c r="Y19" s="18">
        <v>0.1</v>
      </c>
      <c r="Z19" s="18">
        <v>0.5</v>
      </c>
      <c r="AA19" s="18">
        <v>0.1</v>
      </c>
      <c r="AB19" s="10">
        <v>5</v>
      </c>
      <c r="AC19" s="10">
        <v>100</v>
      </c>
      <c r="AD19" s="10" t="s">
        <v>435</v>
      </c>
      <c r="AE19" s="5"/>
      <c r="AF19" s="6"/>
      <c r="AG19" s="6"/>
      <c r="AH19" s="6"/>
    </row>
    <row r="20" spans="1:34" ht="15.75" customHeight="1" x14ac:dyDescent="0.25">
      <c r="A20" s="9" t="s">
        <v>117</v>
      </c>
      <c r="B20" s="10" t="s">
        <v>118</v>
      </c>
      <c r="C20" s="10" t="s">
        <v>119</v>
      </c>
      <c r="D20" s="10" t="s">
        <v>60</v>
      </c>
      <c r="E20" s="10">
        <v>226</v>
      </c>
      <c r="F20" s="11" t="s">
        <v>60</v>
      </c>
      <c r="G20" s="12" t="s">
        <v>61</v>
      </c>
      <c r="H20" s="10" t="s">
        <v>61</v>
      </c>
      <c r="I20" s="10" t="s">
        <v>61</v>
      </c>
      <c r="J20" s="10" t="s">
        <v>61</v>
      </c>
      <c r="K20" s="10" t="s">
        <v>61</v>
      </c>
      <c r="L20" s="10" t="s">
        <v>61</v>
      </c>
      <c r="M20" s="10" t="s">
        <v>61</v>
      </c>
      <c r="N20" s="10" t="s">
        <v>61</v>
      </c>
      <c r="O20" s="10" t="s">
        <v>61</v>
      </c>
      <c r="P20" s="10" t="s">
        <v>61</v>
      </c>
      <c r="Q20" s="10" t="s">
        <v>61</v>
      </c>
      <c r="R20" s="10" t="s">
        <v>61</v>
      </c>
      <c r="S20" s="10" t="s">
        <v>61</v>
      </c>
      <c r="T20" s="10" t="s">
        <v>61</v>
      </c>
      <c r="U20" s="10" t="s">
        <v>61</v>
      </c>
      <c r="V20" s="10" t="s">
        <v>61</v>
      </c>
      <c r="W20" s="10" t="s">
        <v>61</v>
      </c>
      <c r="X20" s="10" t="s">
        <v>61</v>
      </c>
      <c r="Y20" s="10" t="s">
        <v>61</v>
      </c>
      <c r="Z20" s="10" t="s">
        <v>61</v>
      </c>
      <c r="AA20" s="10" t="s">
        <v>61</v>
      </c>
      <c r="AB20" s="10">
        <v>5</v>
      </c>
      <c r="AC20" s="10">
        <v>100</v>
      </c>
      <c r="AD20" s="10" t="s">
        <v>291</v>
      </c>
      <c r="AE20" s="5"/>
      <c r="AF20" s="6"/>
      <c r="AG20" s="6"/>
      <c r="AH20" s="6"/>
    </row>
    <row r="21" spans="1:34" ht="15.75" customHeight="1" x14ac:dyDescent="0.25">
      <c r="A21" s="9" t="s">
        <v>120</v>
      </c>
      <c r="B21" s="10" t="s">
        <v>121</v>
      </c>
      <c r="C21" s="10" t="s">
        <v>122</v>
      </c>
      <c r="D21" s="10" t="s">
        <v>60</v>
      </c>
      <c r="E21" s="10">
        <v>58</v>
      </c>
      <c r="F21" s="11" t="s">
        <v>60</v>
      </c>
      <c r="G21" s="12" t="s">
        <v>61</v>
      </c>
      <c r="H21" s="10" t="s">
        <v>61</v>
      </c>
      <c r="I21" s="10" t="s">
        <v>61</v>
      </c>
      <c r="J21" s="10" t="s">
        <v>61</v>
      </c>
      <c r="K21" s="10" t="s">
        <v>61</v>
      </c>
      <c r="L21" s="11" t="s">
        <v>304</v>
      </c>
      <c r="M21" s="10">
        <v>200</v>
      </c>
      <c r="N21" s="10" t="s">
        <v>61</v>
      </c>
      <c r="O21" s="10" t="s">
        <v>61</v>
      </c>
      <c r="P21" s="10" t="s">
        <v>61</v>
      </c>
      <c r="Q21" s="10" t="s">
        <v>61</v>
      </c>
      <c r="R21" s="10" t="s">
        <v>61</v>
      </c>
      <c r="S21" s="10" t="s">
        <v>61</v>
      </c>
      <c r="T21" s="10" t="s">
        <v>61</v>
      </c>
      <c r="U21" s="10" t="s">
        <v>61</v>
      </c>
      <c r="V21" s="10" t="s">
        <v>61</v>
      </c>
      <c r="W21" s="10" t="s">
        <v>61</v>
      </c>
      <c r="X21" s="10" t="s">
        <v>61</v>
      </c>
      <c r="Y21" s="10" t="s">
        <v>61</v>
      </c>
      <c r="Z21" s="10" t="s">
        <v>61</v>
      </c>
      <c r="AA21" s="10" t="s">
        <v>61</v>
      </c>
      <c r="AB21" s="10">
        <v>5</v>
      </c>
      <c r="AC21" s="10">
        <v>100</v>
      </c>
      <c r="AD21" s="13" t="s">
        <v>416</v>
      </c>
      <c r="AE21" s="5"/>
      <c r="AF21" s="6"/>
      <c r="AG21" s="6"/>
      <c r="AH21" s="6"/>
    </row>
    <row r="22" spans="1:34" ht="15.75" customHeight="1" x14ac:dyDescent="0.25">
      <c r="A22" s="9" t="s">
        <v>123</v>
      </c>
      <c r="B22" s="10" t="s">
        <v>124</v>
      </c>
      <c r="C22" s="10" t="s">
        <v>125</v>
      </c>
      <c r="D22" s="10" t="s">
        <v>60</v>
      </c>
      <c r="E22" s="10">
        <v>78</v>
      </c>
      <c r="F22" s="11" t="s">
        <v>60</v>
      </c>
      <c r="G22" s="12" t="s">
        <v>402</v>
      </c>
      <c r="H22" s="10" t="s">
        <v>65</v>
      </c>
      <c r="I22" s="10" t="s">
        <v>66</v>
      </c>
      <c r="J22" s="10" t="s">
        <v>67</v>
      </c>
      <c r="K22" s="17" t="s">
        <v>313</v>
      </c>
      <c r="L22" s="11" t="s">
        <v>304</v>
      </c>
      <c r="M22" s="10">
        <v>2000</v>
      </c>
      <c r="N22" s="10">
        <v>50</v>
      </c>
      <c r="O22" s="10">
        <v>100</v>
      </c>
      <c r="P22" s="10" t="s">
        <v>394</v>
      </c>
      <c r="Q22" s="10" t="s">
        <v>394</v>
      </c>
      <c r="R22" s="21" t="s">
        <v>395</v>
      </c>
      <c r="S22" s="21" t="s">
        <v>395</v>
      </c>
      <c r="T22" s="10">
        <v>10</v>
      </c>
      <c r="U22" s="10">
        <v>10</v>
      </c>
      <c r="V22" s="10">
        <v>10</v>
      </c>
      <c r="W22" s="10">
        <v>10</v>
      </c>
      <c r="X22" s="10" t="s">
        <v>396</v>
      </c>
      <c r="Y22" s="18">
        <v>0.1</v>
      </c>
      <c r="Z22" s="10" t="s">
        <v>396</v>
      </c>
      <c r="AA22" s="18">
        <v>0.1</v>
      </c>
      <c r="AB22" s="10">
        <v>5</v>
      </c>
      <c r="AC22" s="10">
        <v>100</v>
      </c>
      <c r="AD22" s="20" t="s">
        <v>417</v>
      </c>
      <c r="AE22" s="5"/>
      <c r="AF22" s="6"/>
      <c r="AG22" s="6"/>
      <c r="AH22" s="6"/>
    </row>
    <row r="23" spans="1:34" ht="15.75" customHeight="1" x14ac:dyDescent="0.25">
      <c r="A23" s="9" t="s">
        <v>126</v>
      </c>
      <c r="B23" s="10" t="s">
        <v>127</v>
      </c>
      <c r="C23" s="10" t="s">
        <v>105</v>
      </c>
      <c r="D23" s="10" t="s">
        <v>60</v>
      </c>
      <c r="E23" s="10">
        <v>128</v>
      </c>
      <c r="F23" s="11" t="s">
        <v>60</v>
      </c>
      <c r="G23" s="12" t="s">
        <v>64</v>
      </c>
      <c r="H23" s="17" t="s">
        <v>65</v>
      </c>
      <c r="I23" s="17" t="s">
        <v>66</v>
      </c>
      <c r="J23" s="17" t="s">
        <v>67</v>
      </c>
      <c r="K23" s="10" t="s">
        <v>61</v>
      </c>
      <c r="L23" s="11" t="s">
        <v>304</v>
      </c>
      <c r="M23" s="10">
        <v>2000</v>
      </c>
      <c r="N23" s="10">
        <v>50</v>
      </c>
      <c r="O23" s="10">
        <v>100</v>
      </c>
      <c r="P23" s="10">
        <v>250</v>
      </c>
      <c r="Q23" s="10">
        <v>250</v>
      </c>
      <c r="R23" s="10">
        <v>-250</v>
      </c>
      <c r="S23" s="10">
        <v>-250</v>
      </c>
      <c r="T23" s="10">
        <v>10</v>
      </c>
      <c r="U23" s="10">
        <v>10</v>
      </c>
      <c r="V23" s="10">
        <v>10</v>
      </c>
      <c r="W23" s="10">
        <v>10</v>
      </c>
      <c r="X23" s="18">
        <v>0.5</v>
      </c>
      <c r="Y23" s="18">
        <v>0.1</v>
      </c>
      <c r="Z23" s="18">
        <v>0.5</v>
      </c>
      <c r="AA23" s="18">
        <v>0.1</v>
      </c>
      <c r="AB23" s="10">
        <v>5</v>
      </c>
      <c r="AC23" s="10">
        <v>100</v>
      </c>
      <c r="AD23" s="17" t="s">
        <v>318</v>
      </c>
      <c r="AE23" s="5"/>
      <c r="AF23" s="6"/>
      <c r="AG23" s="6"/>
      <c r="AH23" s="6"/>
    </row>
    <row r="24" spans="1:34" ht="15.75" customHeight="1" x14ac:dyDescent="0.25">
      <c r="A24" s="9" t="s">
        <v>128</v>
      </c>
      <c r="B24" s="10" t="s">
        <v>129</v>
      </c>
      <c r="C24" s="10" t="s">
        <v>93</v>
      </c>
      <c r="D24" s="10" t="s">
        <v>60</v>
      </c>
      <c r="E24" s="10">
        <v>18</v>
      </c>
      <c r="F24" s="11" t="s">
        <v>60</v>
      </c>
      <c r="G24" s="12" t="s">
        <v>405</v>
      </c>
      <c r="H24" s="17" t="s">
        <v>62</v>
      </c>
      <c r="I24" s="17" t="s">
        <v>70</v>
      </c>
      <c r="J24" s="17" t="s">
        <v>71</v>
      </c>
      <c r="K24" s="10" t="s">
        <v>61</v>
      </c>
      <c r="L24" s="11" t="s">
        <v>296</v>
      </c>
      <c r="M24" s="10" t="s">
        <v>61</v>
      </c>
      <c r="N24" s="10">
        <v>2</v>
      </c>
      <c r="O24" s="10">
        <v>4</v>
      </c>
      <c r="P24" s="10">
        <v>10</v>
      </c>
      <c r="Q24" s="10">
        <v>10</v>
      </c>
      <c r="R24" s="10">
        <v>10</v>
      </c>
      <c r="S24" s="10">
        <v>10</v>
      </c>
      <c r="T24" s="10">
        <v>10</v>
      </c>
      <c r="U24" s="10">
        <v>10</v>
      </c>
      <c r="V24" s="10">
        <v>10</v>
      </c>
      <c r="W24" s="10">
        <v>10</v>
      </c>
      <c r="X24" s="18">
        <v>0.5</v>
      </c>
      <c r="Y24" s="18">
        <v>0.1</v>
      </c>
      <c r="Z24" s="18">
        <v>0.5</v>
      </c>
      <c r="AA24" s="18">
        <v>0.1</v>
      </c>
      <c r="AB24" s="10">
        <v>5</v>
      </c>
      <c r="AC24" s="10">
        <v>100</v>
      </c>
      <c r="AD24" s="17" t="s">
        <v>319</v>
      </c>
      <c r="AE24" s="5"/>
      <c r="AF24" s="6"/>
      <c r="AG24" s="6"/>
      <c r="AH24" s="6"/>
    </row>
    <row r="25" spans="1:34" ht="15.75" customHeight="1" x14ac:dyDescent="0.25">
      <c r="A25" s="9" t="s">
        <v>130</v>
      </c>
      <c r="B25" s="10" t="s">
        <v>131</v>
      </c>
      <c r="C25" s="10" t="s">
        <v>111</v>
      </c>
      <c r="D25" s="10" t="s">
        <v>60</v>
      </c>
      <c r="E25" s="10">
        <v>51</v>
      </c>
      <c r="F25" s="11" t="s">
        <v>60</v>
      </c>
      <c r="G25" s="12" t="s">
        <v>61</v>
      </c>
      <c r="H25" s="10" t="s">
        <v>61</v>
      </c>
      <c r="I25" s="10" t="s">
        <v>61</v>
      </c>
      <c r="J25" s="10" t="s">
        <v>61</v>
      </c>
      <c r="K25" s="10" t="s">
        <v>61</v>
      </c>
      <c r="L25" s="10" t="s">
        <v>61</v>
      </c>
      <c r="M25" s="10" t="s">
        <v>61</v>
      </c>
      <c r="N25" s="10" t="s">
        <v>61</v>
      </c>
      <c r="O25" s="10" t="s">
        <v>61</v>
      </c>
      <c r="P25" s="10" t="s">
        <v>61</v>
      </c>
      <c r="Q25" s="10" t="s">
        <v>61</v>
      </c>
      <c r="R25" s="10" t="s">
        <v>61</v>
      </c>
      <c r="S25" s="10" t="s">
        <v>61</v>
      </c>
      <c r="T25" s="10" t="s">
        <v>61</v>
      </c>
      <c r="U25" s="10" t="s">
        <v>61</v>
      </c>
      <c r="V25" s="10" t="s">
        <v>61</v>
      </c>
      <c r="W25" s="10" t="s">
        <v>61</v>
      </c>
      <c r="X25" s="10" t="s">
        <v>61</v>
      </c>
      <c r="Y25" s="10" t="s">
        <v>61</v>
      </c>
      <c r="Z25" s="10" t="s">
        <v>61</v>
      </c>
      <c r="AA25" s="10" t="s">
        <v>61</v>
      </c>
      <c r="AB25" s="10" t="s">
        <v>60</v>
      </c>
      <c r="AC25" s="17" t="s">
        <v>61</v>
      </c>
      <c r="AD25" s="17" t="s">
        <v>320</v>
      </c>
      <c r="AE25" s="5"/>
      <c r="AF25" s="6"/>
      <c r="AG25" s="6"/>
      <c r="AH25" s="6"/>
    </row>
    <row r="26" spans="1:34" ht="15.75" customHeight="1" x14ac:dyDescent="0.25">
      <c r="A26" s="9" t="s">
        <v>132</v>
      </c>
      <c r="B26" s="10" t="s">
        <v>133</v>
      </c>
      <c r="C26" s="10" t="s">
        <v>93</v>
      </c>
      <c r="D26" s="10" t="s">
        <v>60</v>
      </c>
      <c r="E26" s="10">
        <f>31+31</f>
        <v>62</v>
      </c>
      <c r="F26" s="11" t="s">
        <v>60</v>
      </c>
      <c r="G26" s="12" t="s">
        <v>61</v>
      </c>
      <c r="H26" s="17" t="s">
        <v>65</v>
      </c>
      <c r="I26" s="10" t="s">
        <v>61</v>
      </c>
      <c r="J26" s="10" t="s">
        <v>61</v>
      </c>
      <c r="K26" s="17" t="s">
        <v>317</v>
      </c>
      <c r="L26" s="17" t="s">
        <v>61</v>
      </c>
      <c r="M26" s="10" t="s">
        <v>61</v>
      </c>
      <c r="N26" s="10" t="s">
        <v>61</v>
      </c>
      <c r="O26" s="10" t="s">
        <v>61</v>
      </c>
      <c r="P26" s="10" t="s">
        <v>61</v>
      </c>
      <c r="Q26" s="10" t="s">
        <v>61</v>
      </c>
      <c r="R26" s="10" t="s">
        <v>61</v>
      </c>
      <c r="S26" s="10" t="s">
        <v>61</v>
      </c>
      <c r="T26" s="10" t="s">
        <v>61</v>
      </c>
      <c r="U26" s="10" t="s">
        <v>61</v>
      </c>
      <c r="V26" s="10" t="s">
        <v>61</v>
      </c>
      <c r="W26" s="10" t="s">
        <v>61</v>
      </c>
      <c r="X26" s="10" t="s">
        <v>61</v>
      </c>
      <c r="Y26" s="10" t="s">
        <v>61</v>
      </c>
      <c r="Z26" s="10" t="s">
        <v>61</v>
      </c>
      <c r="AA26" s="10" t="s">
        <v>61</v>
      </c>
      <c r="AB26" s="10">
        <v>5</v>
      </c>
      <c r="AC26" s="10">
        <v>100</v>
      </c>
      <c r="AD26" s="22" t="s">
        <v>382</v>
      </c>
      <c r="AE26" s="5"/>
      <c r="AF26" s="6"/>
      <c r="AG26" s="6"/>
      <c r="AH26" s="6"/>
    </row>
    <row r="27" spans="1:34" ht="15.75" customHeight="1" x14ac:dyDescent="0.25">
      <c r="A27" s="9" t="s">
        <v>134</v>
      </c>
      <c r="B27" s="10" t="s">
        <v>135</v>
      </c>
      <c r="C27" s="10" t="s">
        <v>136</v>
      </c>
      <c r="D27" s="10" t="s">
        <v>60</v>
      </c>
      <c r="E27" s="10">
        <v>175</v>
      </c>
      <c r="F27" s="11" t="s">
        <v>60</v>
      </c>
      <c r="G27" s="12" t="s">
        <v>61</v>
      </c>
      <c r="H27" s="10" t="s">
        <v>61</v>
      </c>
      <c r="I27" s="10" t="s">
        <v>61</v>
      </c>
      <c r="J27" s="10" t="s">
        <v>61</v>
      </c>
      <c r="K27" s="17" t="s">
        <v>317</v>
      </c>
      <c r="L27" s="11" t="s">
        <v>304</v>
      </c>
      <c r="M27" s="10" t="s">
        <v>61</v>
      </c>
      <c r="N27" s="10">
        <v>50</v>
      </c>
      <c r="O27" s="10">
        <v>100</v>
      </c>
      <c r="P27" s="17" t="s">
        <v>61</v>
      </c>
      <c r="Q27" s="17" t="s">
        <v>61</v>
      </c>
      <c r="R27" s="17" t="s">
        <v>61</v>
      </c>
      <c r="S27" s="17" t="s">
        <v>61</v>
      </c>
      <c r="T27" s="10" t="s">
        <v>61</v>
      </c>
      <c r="U27" s="10" t="s">
        <v>61</v>
      </c>
      <c r="V27" s="10" t="s">
        <v>61</v>
      </c>
      <c r="W27" s="10" t="s">
        <v>61</v>
      </c>
      <c r="X27" s="10" t="s">
        <v>61</v>
      </c>
      <c r="Y27" s="10" t="s">
        <v>61</v>
      </c>
      <c r="Z27" s="10" t="s">
        <v>61</v>
      </c>
      <c r="AA27" s="10" t="s">
        <v>61</v>
      </c>
      <c r="AB27" s="10" t="s">
        <v>60</v>
      </c>
      <c r="AC27" s="10">
        <v>100</v>
      </c>
      <c r="AD27" s="20" t="s">
        <v>321</v>
      </c>
      <c r="AE27" s="5"/>
      <c r="AF27" s="6"/>
      <c r="AG27" s="6"/>
      <c r="AH27" s="6"/>
    </row>
    <row r="28" spans="1:34" ht="15.75" customHeight="1" x14ac:dyDescent="0.25">
      <c r="A28" s="9" t="s">
        <v>137</v>
      </c>
      <c r="B28" s="10" t="s">
        <v>138</v>
      </c>
      <c r="C28" s="10" t="s">
        <v>96</v>
      </c>
      <c r="D28" s="10" t="s">
        <v>60</v>
      </c>
      <c r="E28" s="10">
        <v>60</v>
      </c>
      <c r="F28" s="11" t="s">
        <v>60</v>
      </c>
      <c r="G28" s="12" t="s">
        <v>61</v>
      </c>
      <c r="H28" s="17" t="s">
        <v>65</v>
      </c>
      <c r="I28" s="17" t="s">
        <v>61</v>
      </c>
      <c r="J28" s="17" t="s">
        <v>67</v>
      </c>
      <c r="K28" s="10" t="s">
        <v>61</v>
      </c>
      <c r="L28" s="11" t="s">
        <v>304</v>
      </c>
      <c r="M28" s="10">
        <v>2000</v>
      </c>
      <c r="N28" s="10">
        <v>50</v>
      </c>
      <c r="O28" s="10">
        <v>100</v>
      </c>
      <c r="P28" s="10">
        <v>250</v>
      </c>
      <c r="Q28" s="10">
        <v>250</v>
      </c>
      <c r="R28" s="10">
        <v>-250</v>
      </c>
      <c r="S28" s="10">
        <v>-250</v>
      </c>
      <c r="T28" s="10">
        <v>10</v>
      </c>
      <c r="U28" s="10">
        <v>10</v>
      </c>
      <c r="V28" s="10">
        <v>10</v>
      </c>
      <c r="W28" s="10">
        <v>10</v>
      </c>
      <c r="X28" s="18">
        <v>0.5</v>
      </c>
      <c r="Y28" s="18">
        <v>0.1</v>
      </c>
      <c r="Z28" s="18">
        <v>0.5</v>
      </c>
      <c r="AA28" s="18">
        <v>0.1</v>
      </c>
      <c r="AB28" s="10" t="s">
        <v>60</v>
      </c>
      <c r="AC28" s="10">
        <v>100</v>
      </c>
      <c r="AD28" s="17" t="s">
        <v>322</v>
      </c>
      <c r="AE28" s="5"/>
      <c r="AF28" s="6"/>
      <c r="AG28" s="6"/>
      <c r="AH28" s="6"/>
    </row>
    <row r="29" spans="1:34" ht="15.75" customHeight="1" x14ac:dyDescent="0.25">
      <c r="A29" s="9" t="s">
        <v>139</v>
      </c>
      <c r="B29" s="10" t="s">
        <v>140</v>
      </c>
      <c r="C29" s="10" t="s">
        <v>136</v>
      </c>
      <c r="D29" s="10" t="s">
        <v>60</v>
      </c>
      <c r="E29" s="10">
        <v>40</v>
      </c>
      <c r="F29" s="11" t="s">
        <v>60</v>
      </c>
      <c r="G29" s="12" t="s">
        <v>61</v>
      </c>
      <c r="H29" s="10" t="s">
        <v>61</v>
      </c>
      <c r="I29" s="10" t="s">
        <v>61</v>
      </c>
      <c r="J29" s="10" t="s">
        <v>61</v>
      </c>
      <c r="K29" s="10" t="s">
        <v>61</v>
      </c>
      <c r="L29" s="10" t="s">
        <v>61</v>
      </c>
      <c r="M29" s="10" t="s">
        <v>61</v>
      </c>
      <c r="N29" s="10" t="s">
        <v>61</v>
      </c>
      <c r="O29" s="10" t="s">
        <v>61</v>
      </c>
      <c r="P29" s="10" t="s">
        <v>61</v>
      </c>
      <c r="Q29" s="10" t="s">
        <v>61</v>
      </c>
      <c r="R29" s="10" t="s">
        <v>61</v>
      </c>
      <c r="S29" s="10" t="s">
        <v>61</v>
      </c>
      <c r="T29" s="10" t="s">
        <v>61</v>
      </c>
      <c r="U29" s="10" t="s">
        <v>61</v>
      </c>
      <c r="V29" s="10" t="s">
        <v>61</v>
      </c>
      <c r="W29" s="10" t="s">
        <v>61</v>
      </c>
      <c r="X29" s="10" t="s">
        <v>61</v>
      </c>
      <c r="Y29" s="10" t="s">
        <v>61</v>
      </c>
      <c r="Z29" s="10" t="s">
        <v>61</v>
      </c>
      <c r="AA29" s="10" t="s">
        <v>61</v>
      </c>
      <c r="AB29" s="10" t="s">
        <v>60</v>
      </c>
      <c r="AC29" s="10" t="s">
        <v>61</v>
      </c>
      <c r="AD29" s="17" t="s">
        <v>292</v>
      </c>
      <c r="AE29" s="5"/>
      <c r="AF29" s="6"/>
      <c r="AG29" s="6"/>
      <c r="AH29" s="6"/>
    </row>
    <row r="30" spans="1:34" ht="15.75" customHeight="1" x14ac:dyDescent="0.25">
      <c r="A30" s="9" t="s">
        <v>141</v>
      </c>
      <c r="B30" s="10" t="s">
        <v>142</v>
      </c>
      <c r="C30" s="10" t="s">
        <v>82</v>
      </c>
      <c r="D30" s="10" t="s">
        <v>60</v>
      </c>
      <c r="E30" s="10">
        <v>65</v>
      </c>
      <c r="F30" s="11" t="s">
        <v>60</v>
      </c>
      <c r="G30" s="12" t="s">
        <v>61</v>
      </c>
      <c r="H30" s="17" t="s">
        <v>65</v>
      </c>
      <c r="I30" s="10" t="s">
        <v>66</v>
      </c>
      <c r="J30" s="10" t="s">
        <v>61</v>
      </c>
      <c r="K30" s="10" t="s">
        <v>61</v>
      </c>
      <c r="L30" s="11" t="s">
        <v>304</v>
      </c>
      <c r="M30" s="10">
        <v>2000</v>
      </c>
      <c r="N30" s="10" t="s">
        <v>61</v>
      </c>
      <c r="O30" s="10" t="s">
        <v>61</v>
      </c>
      <c r="P30" s="10" t="s">
        <v>61</v>
      </c>
      <c r="Q30" s="10" t="s">
        <v>61</v>
      </c>
      <c r="R30" s="10" t="s">
        <v>61</v>
      </c>
      <c r="S30" s="10" t="s">
        <v>61</v>
      </c>
      <c r="T30" s="10" t="s">
        <v>61</v>
      </c>
      <c r="U30" s="10" t="s">
        <v>61</v>
      </c>
      <c r="V30" s="10" t="s">
        <v>61</v>
      </c>
      <c r="W30" s="10" t="s">
        <v>61</v>
      </c>
      <c r="X30" s="10" t="s">
        <v>61</v>
      </c>
      <c r="Y30" s="10" t="s">
        <v>61</v>
      </c>
      <c r="Z30" s="10" t="s">
        <v>61</v>
      </c>
      <c r="AA30" s="10" t="s">
        <v>61</v>
      </c>
      <c r="AB30" s="10">
        <v>5</v>
      </c>
      <c r="AC30" s="10">
        <v>100</v>
      </c>
      <c r="AD30" s="17" t="s">
        <v>323</v>
      </c>
      <c r="AE30" s="5"/>
      <c r="AF30" s="6"/>
      <c r="AG30" s="6"/>
      <c r="AH30" s="6"/>
    </row>
    <row r="31" spans="1:34" ht="15.75" customHeight="1" x14ac:dyDescent="0.25">
      <c r="A31" s="9" t="s">
        <v>143</v>
      </c>
      <c r="B31" s="10" t="s">
        <v>144</v>
      </c>
      <c r="C31" s="10" t="s">
        <v>108</v>
      </c>
      <c r="D31" s="10" t="s">
        <v>60</v>
      </c>
      <c r="E31" s="10">
        <v>59</v>
      </c>
      <c r="F31" s="11" t="s">
        <v>60</v>
      </c>
      <c r="G31" s="12" t="s">
        <v>61</v>
      </c>
      <c r="H31" s="10" t="s">
        <v>61</v>
      </c>
      <c r="I31" s="17" t="s">
        <v>61</v>
      </c>
      <c r="J31" s="17" t="s">
        <v>61</v>
      </c>
      <c r="K31" s="10" t="s">
        <v>61</v>
      </c>
      <c r="L31" s="11" t="s">
        <v>304</v>
      </c>
      <c r="M31" s="10" t="s">
        <v>61</v>
      </c>
      <c r="N31" s="10">
        <v>50</v>
      </c>
      <c r="O31" s="10">
        <v>100</v>
      </c>
      <c r="P31" s="10">
        <v>250</v>
      </c>
      <c r="Q31" s="10">
        <v>250</v>
      </c>
      <c r="R31" s="10">
        <v>-250</v>
      </c>
      <c r="S31" s="10">
        <v>-250</v>
      </c>
      <c r="T31" s="10">
        <v>10</v>
      </c>
      <c r="U31" s="10">
        <v>10</v>
      </c>
      <c r="V31" s="10">
        <v>10</v>
      </c>
      <c r="W31" s="10">
        <v>10</v>
      </c>
      <c r="X31" s="18">
        <v>0.5</v>
      </c>
      <c r="Y31" s="18">
        <v>0.1</v>
      </c>
      <c r="Z31" s="18">
        <v>0.5</v>
      </c>
      <c r="AA31" s="18">
        <v>0.1</v>
      </c>
      <c r="AB31" s="10" t="s">
        <v>60</v>
      </c>
      <c r="AC31" s="10">
        <v>100</v>
      </c>
      <c r="AD31" s="17" t="s">
        <v>383</v>
      </c>
      <c r="AE31" s="5"/>
      <c r="AF31" s="6"/>
      <c r="AG31" s="6"/>
      <c r="AH31" s="6"/>
    </row>
    <row r="32" spans="1:34" ht="15.75" customHeight="1" x14ac:dyDescent="0.25">
      <c r="A32" s="9" t="s">
        <v>145</v>
      </c>
      <c r="B32" s="10" t="s">
        <v>146</v>
      </c>
      <c r="C32" s="10" t="s">
        <v>96</v>
      </c>
      <c r="D32" s="10" t="s">
        <v>60</v>
      </c>
      <c r="E32" s="10">
        <v>55</v>
      </c>
      <c r="F32" s="11" t="s">
        <v>60</v>
      </c>
      <c r="G32" s="12" t="s">
        <v>61</v>
      </c>
      <c r="H32" s="17" t="s">
        <v>65</v>
      </c>
      <c r="I32" s="17" t="s">
        <v>66</v>
      </c>
      <c r="J32" s="10" t="s">
        <v>61</v>
      </c>
      <c r="K32" s="10" t="s">
        <v>61</v>
      </c>
      <c r="L32" s="11" t="s">
        <v>304</v>
      </c>
      <c r="M32" s="10" t="s">
        <v>61</v>
      </c>
      <c r="N32" s="10">
        <v>50</v>
      </c>
      <c r="O32" s="10">
        <v>100</v>
      </c>
      <c r="P32" s="10">
        <v>250</v>
      </c>
      <c r="Q32" s="10">
        <v>250</v>
      </c>
      <c r="R32" s="10">
        <v>-250</v>
      </c>
      <c r="S32" s="10">
        <v>-250</v>
      </c>
      <c r="T32" s="10">
        <v>10</v>
      </c>
      <c r="U32" s="10">
        <v>10</v>
      </c>
      <c r="V32" s="10">
        <v>10</v>
      </c>
      <c r="W32" s="10">
        <v>10</v>
      </c>
      <c r="X32" s="18">
        <v>0.5</v>
      </c>
      <c r="Y32" s="18">
        <v>0.1</v>
      </c>
      <c r="Z32" s="18">
        <v>0.5</v>
      </c>
      <c r="AA32" s="18">
        <v>0.1</v>
      </c>
      <c r="AB32" s="10">
        <v>5</v>
      </c>
      <c r="AC32" s="10">
        <v>100</v>
      </c>
      <c r="AD32" s="17" t="s">
        <v>324</v>
      </c>
      <c r="AE32" s="5"/>
      <c r="AF32" s="6"/>
      <c r="AG32" s="6"/>
      <c r="AH32" s="6"/>
    </row>
    <row r="33" spans="1:34" ht="15.75" customHeight="1" x14ac:dyDescent="0.25">
      <c r="A33" s="9" t="s">
        <v>147</v>
      </c>
      <c r="B33" s="10" t="s">
        <v>148</v>
      </c>
      <c r="C33" s="10" t="s">
        <v>82</v>
      </c>
      <c r="D33" s="10" t="s">
        <v>60</v>
      </c>
      <c r="E33" s="10">
        <v>18</v>
      </c>
      <c r="F33" s="11" t="s">
        <v>60</v>
      </c>
      <c r="G33" s="12" t="s">
        <v>309</v>
      </c>
      <c r="H33" s="10" t="s">
        <v>61</v>
      </c>
      <c r="I33" s="17" t="s">
        <v>70</v>
      </c>
      <c r="J33" s="17" t="s">
        <v>61</v>
      </c>
      <c r="K33" s="17" t="s">
        <v>317</v>
      </c>
      <c r="L33" s="11" t="s">
        <v>304</v>
      </c>
      <c r="M33" s="10" t="s">
        <v>61</v>
      </c>
      <c r="N33" s="10">
        <v>50</v>
      </c>
      <c r="O33" s="10">
        <v>100</v>
      </c>
      <c r="P33" s="10">
        <v>250</v>
      </c>
      <c r="Q33" s="10">
        <v>250</v>
      </c>
      <c r="R33" s="10">
        <v>-250</v>
      </c>
      <c r="S33" s="10">
        <v>-250</v>
      </c>
      <c r="T33" s="10">
        <v>10</v>
      </c>
      <c r="U33" s="10">
        <v>10</v>
      </c>
      <c r="V33" s="10">
        <v>10</v>
      </c>
      <c r="W33" s="10">
        <v>10</v>
      </c>
      <c r="X33" s="18">
        <v>0.5</v>
      </c>
      <c r="Y33" s="18">
        <v>0.1</v>
      </c>
      <c r="Z33" s="18">
        <v>0.5</v>
      </c>
      <c r="AA33" s="18">
        <v>0.1</v>
      </c>
      <c r="AB33" s="10">
        <v>3</v>
      </c>
      <c r="AC33" s="10">
        <v>135</v>
      </c>
      <c r="AD33" s="17" t="s">
        <v>325</v>
      </c>
      <c r="AE33" s="5"/>
      <c r="AF33" s="6"/>
      <c r="AG33" s="6"/>
      <c r="AH33" s="6"/>
    </row>
    <row r="34" spans="1:34" ht="15.75" customHeight="1" x14ac:dyDescent="0.25">
      <c r="A34" s="9" t="s">
        <v>149</v>
      </c>
      <c r="B34" s="10" t="s">
        <v>150</v>
      </c>
      <c r="C34" s="10" t="s">
        <v>151</v>
      </c>
      <c r="D34" s="10" t="s">
        <v>60</v>
      </c>
      <c r="E34" s="10">
        <v>270</v>
      </c>
      <c r="F34" s="11" t="s">
        <v>60</v>
      </c>
      <c r="G34" s="12" t="s">
        <v>61</v>
      </c>
      <c r="H34" s="10" t="s">
        <v>61</v>
      </c>
      <c r="I34" s="10" t="s">
        <v>61</v>
      </c>
      <c r="J34" s="10" t="s">
        <v>61</v>
      </c>
      <c r="K34" s="10" t="s">
        <v>61</v>
      </c>
      <c r="L34" s="10" t="s">
        <v>61</v>
      </c>
      <c r="M34" s="10" t="s">
        <v>61</v>
      </c>
      <c r="N34" s="10" t="s">
        <v>61</v>
      </c>
      <c r="O34" s="10" t="s">
        <v>61</v>
      </c>
      <c r="P34" s="10" t="s">
        <v>61</v>
      </c>
      <c r="Q34" s="10" t="s">
        <v>61</v>
      </c>
      <c r="R34" s="10" t="s">
        <v>61</v>
      </c>
      <c r="S34" s="10" t="s">
        <v>61</v>
      </c>
      <c r="T34" s="10" t="s">
        <v>61</v>
      </c>
      <c r="U34" s="10" t="s">
        <v>61</v>
      </c>
      <c r="V34" s="10" t="s">
        <v>61</v>
      </c>
      <c r="W34" s="10" t="s">
        <v>61</v>
      </c>
      <c r="X34" s="10" t="s">
        <v>61</v>
      </c>
      <c r="Y34" s="10" t="s">
        <v>61</v>
      </c>
      <c r="Z34" s="10" t="s">
        <v>61</v>
      </c>
      <c r="AA34" s="10" t="s">
        <v>61</v>
      </c>
      <c r="AB34" s="10" t="s">
        <v>60</v>
      </c>
      <c r="AC34" s="10" t="s">
        <v>61</v>
      </c>
      <c r="AD34" s="10" t="s">
        <v>293</v>
      </c>
      <c r="AE34" s="5"/>
      <c r="AF34" s="6"/>
      <c r="AG34" s="6"/>
      <c r="AH34" s="6"/>
    </row>
    <row r="35" spans="1:34" ht="15.75" customHeight="1" x14ac:dyDescent="0.25">
      <c r="A35" s="9" t="s">
        <v>152</v>
      </c>
      <c r="B35" s="10" t="s">
        <v>153</v>
      </c>
      <c r="C35" s="10" t="s">
        <v>154</v>
      </c>
      <c r="D35" s="10" t="s">
        <v>60</v>
      </c>
      <c r="E35" s="10">
        <v>95</v>
      </c>
      <c r="F35" s="11" t="s">
        <v>60</v>
      </c>
      <c r="G35" s="12" t="s">
        <v>61</v>
      </c>
      <c r="H35" s="10" t="s">
        <v>61</v>
      </c>
      <c r="I35" s="17" t="s">
        <v>61</v>
      </c>
      <c r="J35" s="17" t="s">
        <v>61</v>
      </c>
      <c r="K35" s="10" t="s">
        <v>61</v>
      </c>
      <c r="L35" s="17" t="s">
        <v>61</v>
      </c>
      <c r="M35" s="10" t="s">
        <v>61</v>
      </c>
      <c r="N35" s="10" t="s">
        <v>61</v>
      </c>
      <c r="O35" s="10" t="s">
        <v>61</v>
      </c>
      <c r="P35" s="10" t="s">
        <v>61</v>
      </c>
      <c r="Q35" s="10" t="s">
        <v>61</v>
      </c>
      <c r="R35" s="10" t="s">
        <v>61</v>
      </c>
      <c r="S35" s="10" t="s">
        <v>61</v>
      </c>
      <c r="T35" s="10" t="s">
        <v>61</v>
      </c>
      <c r="U35" s="10" t="s">
        <v>61</v>
      </c>
      <c r="V35" s="10" t="s">
        <v>61</v>
      </c>
      <c r="W35" s="10" t="s">
        <v>61</v>
      </c>
      <c r="X35" s="10" t="s">
        <v>61</v>
      </c>
      <c r="Y35" s="10" t="s">
        <v>61</v>
      </c>
      <c r="Z35" s="10" t="s">
        <v>61</v>
      </c>
      <c r="AA35" s="10" t="s">
        <v>61</v>
      </c>
      <c r="AB35" s="10">
        <v>5</v>
      </c>
      <c r="AC35" s="10">
        <v>100</v>
      </c>
      <c r="AD35" s="17" t="s">
        <v>326</v>
      </c>
      <c r="AE35" s="5"/>
      <c r="AF35" s="6"/>
      <c r="AG35" s="6"/>
      <c r="AH35" s="6"/>
    </row>
    <row r="36" spans="1:34" ht="15.75" customHeight="1" x14ac:dyDescent="0.25">
      <c r="A36" s="9" t="s">
        <v>155</v>
      </c>
      <c r="B36" s="10" t="s">
        <v>156</v>
      </c>
      <c r="C36" s="10" t="s">
        <v>122</v>
      </c>
      <c r="D36" s="10" t="s">
        <v>60</v>
      </c>
      <c r="E36" s="10">
        <f>38+30</f>
        <v>68</v>
      </c>
      <c r="F36" s="11" t="s">
        <v>60</v>
      </c>
      <c r="G36" s="12" t="s">
        <v>61</v>
      </c>
      <c r="H36" s="17" t="s">
        <v>65</v>
      </c>
      <c r="I36" s="10" t="s">
        <v>61</v>
      </c>
      <c r="J36" s="17" t="s">
        <v>61</v>
      </c>
      <c r="K36" s="10" t="s">
        <v>61</v>
      </c>
      <c r="L36" s="17" t="s">
        <v>61</v>
      </c>
      <c r="M36" s="10" t="s">
        <v>61</v>
      </c>
      <c r="N36" s="10" t="s">
        <v>61</v>
      </c>
      <c r="O36" s="10" t="s">
        <v>61</v>
      </c>
      <c r="P36" s="10" t="s">
        <v>61</v>
      </c>
      <c r="Q36" s="10" t="s">
        <v>61</v>
      </c>
      <c r="R36" s="10" t="s">
        <v>61</v>
      </c>
      <c r="S36" s="10" t="s">
        <v>61</v>
      </c>
      <c r="T36" s="10" t="s">
        <v>61</v>
      </c>
      <c r="U36" s="10" t="s">
        <v>61</v>
      </c>
      <c r="V36" s="10" t="s">
        <v>61</v>
      </c>
      <c r="W36" s="10" t="s">
        <v>61</v>
      </c>
      <c r="X36" s="10" t="s">
        <v>61</v>
      </c>
      <c r="Y36" s="10" t="s">
        <v>61</v>
      </c>
      <c r="Z36" s="10" t="s">
        <v>61</v>
      </c>
      <c r="AA36" s="10" t="s">
        <v>61</v>
      </c>
      <c r="AB36" s="10">
        <v>5</v>
      </c>
      <c r="AC36" s="10">
        <v>100</v>
      </c>
      <c r="AD36" s="17" t="s">
        <v>327</v>
      </c>
      <c r="AE36" s="5"/>
      <c r="AF36" s="6"/>
      <c r="AG36" s="6"/>
      <c r="AH36" s="6"/>
    </row>
    <row r="37" spans="1:34" ht="15.75" customHeight="1" x14ac:dyDescent="0.25">
      <c r="A37" s="9" t="s">
        <v>157</v>
      </c>
      <c r="B37" s="10" t="s">
        <v>158</v>
      </c>
      <c r="C37" s="10" t="s">
        <v>111</v>
      </c>
      <c r="D37" s="10" t="s">
        <v>60</v>
      </c>
      <c r="E37" s="10">
        <v>48</v>
      </c>
      <c r="F37" s="11" t="s">
        <v>60</v>
      </c>
      <c r="G37" s="12" t="s">
        <v>64</v>
      </c>
      <c r="H37" s="17" t="s">
        <v>65</v>
      </c>
      <c r="I37" s="17" t="s">
        <v>66</v>
      </c>
      <c r="J37" s="17" t="s">
        <v>67</v>
      </c>
      <c r="K37" s="10" t="s">
        <v>61</v>
      </c>
      <c r="L37" s="11" t="s">
        <v>304</v>
      </c>
      <c r="M37" s="10">
        <v>2000</v>
      </c>
      <c r="N37" s="10">
        <v>50</v>
      </c>
      <c r="O37" s="10">
        <v>100</v>
      </c>
      <c r="P37" s="10">
        <v>250</v>
      </c>
      <c r="Q37" s="10">
        <v>250</v>
      </c>
      <c r="R37" s="10">
        <v>-250</v>
      </c>
      <c r="S37" s="10">
        <v>-250</v>
      </c>
      <c r="T37" s="10">
        <v>10</v>
      </c>
      <c r="U37" s="10">
        <v>10</v>
      </c>
      <c r="V37" s="10">
        <v>10</v>
      </c>
      <c r="W37" s="10">
        <v>10</v>
      </c>
      <c r="X37" s="18">
        <v>0.5</v>
      </c>
      <c r="Y37" s="18">
        <v>0.1</v>
      </c>
      <c r="Z37" s="18">
        <v>0.5</v>
      </c>
      <c r="AA37" s="18">
        <v>0.1</v>
      </c>
      <c r="AB37" s="10">
        <v>5</v>
      </c>
      <c r="AC37" s="10">
        <v>100</v>
      </c>
      <c r="AD37" s="20" t="s">
        <v>413</v>
      </c>
      <c r="AE37" s="5"/>
      <c r="AF37" s="6"/>
      <c r="AG37" s="6"/>
      <c r="AH37" s="6"/>
    </row>
    <row r="38" spans="1:34" ht="15.75" customHeight="1" x14ac:dyDescent="0.25">
      <c r="A38" s="9" t="s">
        <v>159</v>
      </c>
      <c r="B38" s="10" t="s">
        <v>160</v>
      </c>
      <c r="C38" s="10" t="s">
        <v>79</v>
      </c>
      <c r="D38" s="10" t="s">
        <v>60</v>
      </c>
      <c r="E38" s="10">
        <f>22+31</f>
        <v>53</v>
      </c>
      <c r="F38" s="11" t="s">
        <v>60</v>
      </c>
      <c r="G38" s="12" t="s">
        <v>61</v>
      </c>
      <c r="H38" s="17" t="s">
        <v>65</v>
      </c>
      <c r="I38" s="10" t="s">
        <v>61</v>
      </c>
      <c r="J38" s="10" t="s">
        <v>61</v>
      </c>
      <c r="K38" s="10" t="s">
        <v>61</v>
      </c>
      <c r="L38" s="17" t="s">
        <v>61</v>
      </c>
      <c r="M38" s="10" t="s">
        <v>61</v>
      </c>
      <c r="N38" s="10" t="s">
        <v>61</v>
      </c>
      <c r="O38" s="10" t="s">
        <v>61</v>
      </c>
      <c r="P38" s="10" t="s">
        <v>61</v>
      </c>
      <c r="Q38" s="10" t="s">
        <v>61</v>
      </c>
      <c r="R38" s="10" t="s">
        <v>61</v>
      </c>
      <c r="S38" s="10" t="s">
        <v>61</v>
      </c>
      <c r="T38" s="10" t="s">
        <v>61</v>
      </c>
      <c r="U38" s="10" t="s">
        <v>61</v>
      </c>
      <c r="V38" s="10" t="s">
        <v>61</v>
      </c>
      <c r="W38" s="10" t="s">
        <v>61</v>
      </c>
      <c r="X38" s="10" t="s">
        <v>61</v>
      </c>
      <c r="Y38" s="10" t="s">
        <v>61</v>
      </c>
      <c r="Z38" s="10" t="s">
        <v>61</v>
      </c>
      <c r="AA38" s="10" t="s">
        <v>61</v>
      </c>
      <c r="AB38" s="10">
        <v>5</v>
      </c>
      <c r="AC38" s="10">
        <v>100</v>
      </c>
      <c r="AD38" s="17" t="s">
        <v>328</v>
      </c>
      <c r="AE38" s="5"/>
      <c r="AF38" s="6"/>
      <c r="AG38" s="6"/>
      <c r="AH38" s="6"/>
    </row>
    <row r="39" spans="1:34" ht="15.75" customHeight="1" x14ac:dyDescent="0.25">
      <c r="A39" s="9" t="s">
        <v>161</v>
      </c>
      <c r="B39" s="10" t="s">
        <v>162</v>
      </c>
      <c r="C39" s="10" t="s">
        <v>111</v>
      </c>
      <c r="D39" s="10" t="s">
        <v>60</v>
      </c>
      <c r="E39" s="10">
        <v>15</v>
      </c>
      <c r="F39" s="11" t="s">
        <v>60</v>
      </c>
      <c r="G39" s="12" t="s">
        <v>61</v>
      </c>
      <c r="H39" s="10" t="s">
        <v>61</v>
      </c>
      <c r="I39" s="10" t="s">
        <v>61</v>
      </c>
      <c r="J39" s="10" t="s">
        <v>61</v>
      </c>
      <c r="K39" s="10" t="s">
        <v>61</v>
      </c>
      <c r="L39" s="11" t="s">
        <v>304</v>
      </c>
      <c r="M39" s="10">
        <v>2000</v>
      </c>
      <c r="N39" s="10">
        <v>50</v>
      </c>
      <c r="O39" s="10">
        <v>100</v>
      </c>
      <c r="P39" s="10" t="s">
        <v>61</v>
      </c>
      <c r="Q39" s="10" t="s">
        <v>61</v>
      </c>
      <c r="R39" s="10" t="s">
        <v>61</v>
      </c>
      <c r="S39" s="10" t="s">
        <v>61</v>
      </c>
      <c r="T39" s="10" t="s">
        <v>61</v>
      </c>
      <c r="U39" s="10" t="s">
        <v>61</v>
      </c>
      <c r="V39" s="10" t="s">
        <v>61</v>
      </c>
      <c r="W39" s="10" t="s">
        <v>61</v>
      </c>
      <c r="X39" s="10" t="s">
        <v>61</v>
      </c>
      <c r="Y39" s="10" t="s">
        <v>61</v>
      </c>
      <c r="Z39" s="10" t="s">
        <v>61</v>
      </c>
      <c r="AA39" s="10" t="s">
        <v>61</v>
      </c>
      <c r="AB39" s="10">
        <v>5</v>
      </c>
      <c r="AC39" s="10">
        <v>100</v>
      </c>
      <c r="AD39" s="17" t="s">
        <v>329</v>
      </c>
      <c r="AE39" s="5"/>
      <c r="AF39" s="6"/>
      <c r="AG39" s="6"/>
      <c r="AH39" s="6"/>
    </row>
    <row r="40" spans="1:34" ht="15.75" customHeight="1" x14ac:dyDescent="0.25">
      <c r="A40" s="9" t="s">
        <v>163</v>
      </c>
      <c r="B40" s="10" t="s">
        <v>164</v>
      </c>
      <c r="C40" s="10" t="s">
        <v>108</v>
      </c>
      <c r="D40" s="10" t="s">
        <v>60</v>
      </c>
      <c r="E40" s="10">
        <f>27+26</f>
        <v>53</v>
      </c>
      <c r="F40" s="11" t="s">
        <v>60</v>
      </c>
      <c r="G40" s="12" t="s">
        <v>61</v>
      </c>
      <c r="H40" s="17" t="s">
        <v>65</v>
      </c>
      <c r="I40" s="10" t="s">
        <v>61</v>
      </c>
      <c r="J40" s="17" t="s">
        <v>61</v>
      </c>
      <c r="K40" s="10" t="s">
        <v>61</v>
      </c>
      <c r="L40" s="11" t="s">
        <v>304</v>
      </c>
      <c r="M40" s="10">
        <v>2000</v>
      </c>
      <c r="N40" s="10" t="s">
        <v>61</v>
      </c>
      <c r="O40" s="10" t="s">
        <v>61</v>
      </c>
      <c r="P40" s="10" t="s">
        <v>61</v>
      </c>
      <c r="Q40" s="10" t="s">
        <v>61</v>
      </c>
      <c r="R40" s="10" t="s">
        <v>61</v>
      </c>
      <c r="S40" s="10" t="s">
        <v>61</v>
      </c>
      <c r="T40" s="10" t="s">
        <v>61</v>
      </c>
      <c r="U40" s="10" t="s">
        <v>61</v>
      </c>
      <c r="V40" s="10" t="s">
        <v>61</v>
      </c>
      <c r="W40" s="10" t="s">
        <v>61</v>
      </c>
      <c r="X40" s="10" t="s">
        <v>61</v>
      </c>
      <c r="Y40" s="10" t="s">
        <v>61</v>
      </c>
      <c r="Z40" s="10" t="s">
        <v>61</v>
      </c>
      <c r="AA40" s="10" t="s">
        <v>61</v>
      </c>
      <c r="AB40" s="10">
        <v>5</v>
      </c>
      <c r="AC40" s="10">
        <v>100</v>
      </c>
      <c r="AD40" s="13" t="s">
        <v>418</v>
      </c>
      <c r="AE40" s="5"/>
      <c r="AF40" s="6"/>
      <c r="AG40" s="6"/>
      <c r="AH40" s="6"/>
    </row>
    <row r="41" spans="1:34" ht="15.75" customHeight="1" x14ac:dyDescent="0.25">
      <c r="A41" s="9" t="s">
        <v>165</v>
      </c>
      <c r="B41" s="10" t="s">
        <v>166</v>
      </c>
      <c r="C41" s="10" t="s">
        <v>82</v>
      </c>
      <c r="D41" s="10" t="s">
        <v>60</v>
      </c>
      <c r="E41" s="10">
        <v>82</v>
      </c>
      <c r="F41" s="11" t="s">
        <v>60</v>
      </c>
      <c r="G41" s="12" t="s">
        <v>309</v>
      </c>
      <c r="H41" s="17" t="s">
        <v>65</v>
      </c>
      <c r="I41" s="17" t="s">
        <v>61</v>
      </c>
      <c r="J41" s="17" t="s">
        <v>61</v>
      </c>
      <c r="K41" s="17" t="s">
        <v>313</v>
      </c>
      <c r="L41" s="11" t="s">
        <v>294</v>
      </c>
      <c r="M41" s="10">
        <v>2000</v>
      </c>
      <c r="N41" s="10" t="s">
        <v>61</v>
      </c>
      <c r="O41" s="10" t="s">
        <v>61</v>
      </c>
      <c r="P41" s="10" t="s">
        <v>61</v>
      </c>
      <c r="Q41" s="10" t="s">
        <v>61</v>
      </c>
      <c r="R41" s="10" t="s">
        <v>61</v>
      </c>
      <c r="S41" s="10" t="s">
        <v>61</v>
      </c>
      <c r="T41" s="10" t="s">
        <v>61</v>
      </c>
      <c r="U41" s="10" t="s">
        <v>61</v>
      </c>
      <c r="V41" s="10" t="s">
        <v>61</v>
      </c>
      <c r="W41" s="10" t="s">
        <v>61</v>
      </c>
      <c r="X41" s="10" t="s">
        <v>61</v>
      </c>
      <c r="Y41" s="10" t="s">
        <v>61</v>
      </c>
      <c r="Z41" s="10" t="s">
        <v>61</v>
      </c>
      <c r="AA41" s="10" t="s">
        <v>61</v>
      </c>
      <c r="AB41" s="10">
        <v>5</v>
      </c>
      <c r="AC41" s="10">
        <v>100</v>
      </c>
      <c r="AD41" s="13" t="s">
        <v>419</v>
      </c>
      <c r="AE41" s="5"/>
      <c r="AF41" s="6"/>
      <c r="AG41" s="6"/>
      <c r="AH41" s="6"/>
    </row>
    <row r="42" spans="1:34" ht="15.75" customHeight="1" x14ac:dyDescent="0.25">
      <c r="A42" s="9" t="s">
        <v>167</v>
      </c>
      <c r="B42" s="10" t="s">
        <v>168</v>
      </c>
      <c r="C42" s="10" t="s">
        <v>154</v>
      </c>
      <c r="D42" s="10" t="s">
        <v>289</v>
      </c>
      <c r="E42" s="10">
        <v>158</v>
      </c>
      <c r="F42" s="11" t="s">
        <v>60</v>
      </c>
      <c r="G42" s="12" t="s">
        <v>61</v>
      </c>
      <c r="H42" s="17" t="s">
        <v>65</v>
      </c>
      <c r="I42" s="17" t="s">
        <v>70</v>
      </c>
      <c r="J42" s="17" t="s">
        <v>71</v>
      </c>
      <c r="K42" s="10" t="s">
        <v>61</v>
      </c>
      <c r="L42" s="11" t="s">
        <v>295</v>
      </c>
      <c r="M42" s="10">
        <v>2000</v>
      </c>
      <c r="N42" s="10">
        <v>50</v>
      </c>
      <c r="O42" s="10">
        <v>100</v>
      </c>
      <c r="P42" s="10">
        <v>250</v>
      </c>
      <c r="Q42" s="10">
        <v>250</v>
      </c>
      <c r="R42" s="10">
        <v>-250</v>
      </c>
      <c r="S42" s="10">
        <v>-250</v>
      </c>
      <c r="T42" s="10">
        <v>10</v>
      </c>
      <c r="U42" s="10">
        <v>10</v>
      </c>
      <c r="V42" s="10">
        <v>10</v>
      </c>
      <c r="W42" s="10">
        <v>10</v>
      </c>
      <c r="X42" s="18">
        <v>0.5</v>
      </c>
      <c r="Y42" s="18">
        <v>0.1</v>
      </c>
      <c r="Z42" s="18">
        <v>0.5</v>
      </c>
      <c r="AA42" s="18">
        <v>0.1</v>
      </c>
      <c r="AB42" s="10">
        <v>5</v>
      </c>
      <c r="AC42" s="10">
        <v>100</v>
      </c>
      <c r="AD42" s="17" t="s">
        <v>330</v>
      </c>
      <c r="AE42" s="5"/>
      <c r="AF42" s="6"/>
      <c r="AG42" s="6"/>
      <c r="AH42" s="6"/>
    </row>
    <row r="43" spans="1:34" ht="15.75" customHeight="1" x14ac:dyDescent="0.25">
      <c r="A43" s="9" t="s">
        <v>169</v>
      </c>
      <c r="B43" s="10" t="s">
        <v>170</v>
      </c>
      <c r="C43" s="10" t="s">
        <v>108</v>
      </c>
      <c r="D43" s="10" t="s">
        <v>60</v>
      </c>
      <c r="E43" s="10">
        <v>130</v>
      </c>
      <c r="F43" s="11" t="s">
        <v>60</v>
      </c>
      <c r="G43" s="19" t="s">
        <v>61</v>
      </c>
      <c r="H43" s="10" t="s">
        <v>61</v>
      </c>
      <c r="I43" s="10" t="s">
        <v>70</v>
      </c>
      <c r="J43" s="10" t="s">
        <v>61</v>
      </c>
      <c r="K43" s="10" t="s">
        <v>61</v>
      </c>
      <c r="L43" s="11" t="s">
        <v>304</v>
      </c>
      <c r="M43" s="10">
        <v>2000</v>
      </c>
      <c r="N43" s="10">
        <v>50</v>
      </c>
      <c r="O43" s="10">
        <v>100</v>
      </c>
      <c r="P43" s="10">
        <v>250</v>
      </c>
      <c r="Q43" s="10">
        <v>250</v>
      </c>
      <c r="R43" s="10">
        <v>-250</v>
      </c>
      <c r="S43" s="10">
        <v>-250</v>
      </c>
      <c r="T43" s="10">
        <v>10</v>
      </c>
      <c r="U43" s="10">
        <v>10</v>
      </c>
      <c r="V43" s="10">
        <v>10</v>
      </c>
      <c r="W43" s="10">
        <v>10</v>
      </c>
      <c r="X43" s="18">
        <v>0.5</v>
      </c>
      <c r="Y43" s="18">
        <v>0.1</v>
      </c>
      <c r="Z43" s="18">
        <v>0.5</v>
      </c>
      <c r="AA43" s="18">
        <v>0.1</v>
      </c>
      <c r="AB43" s="10" t="s">
        <v>60</v>
      </c>
      <c r="AC43" s="10">
        <v>100</v>
      </c>
      <c r="AD43" s="10" t="s">
        <v>331</v>
      </c>
      <c r="AE43" s="5"/>
      <c r="AF43" s="6"/>
      <c r="AG43" s="6"/>
      <c r="AH43" s="6"/>
    </row>
    <row r="44" spans="1:34" ht="15.75" customHeight="1" x14ac:dyDescent="0.25">
      <c r="A44" s="9" t="s">
        <v>171</v>
      </c>
      <c r="B44" s="10" t="s">
        <v>172</v>
      </c>
      <c r="C44" s="10" t="s">
        <v>79</v>
      </c>
      <c r="D44" s="10" t="s">
        <v>288</v>
      </c>
      <c r="E44" s="10">
        <v>218</v>
      </c>
      <c r="F44" s="11" t="s">
        <v>60</v>
      </c>
      <c r="G44" s="19" t="s">
        <v>61</v>
      </c>
      <c r="H44" s="10" t="s">
        <v>61</v>
      </c>
      <c r="I44" s="10" t="s">
        <v>61</v>
      </c>
      <c r="J44" s="10" t="s">
        <v>61</v>
      </c>
      <c r="K44" s="10" t="s">
        <v>61</v>
      </c>
      <c r="L44" s="23" t="s">
        <v>61</v>
      </c>
      <c r="M44" s="10" t="s">
        <v>61</v>
      </c>
      <c r="N44" s="10" t="s">
        <v>61</v>
      </c>
      <c r="O44" s="10" t="s">
        <v>61</v>
      </c>
      <c r="P44" s="10" t="s">
        <v>61</v>
      </c>
      <c r="Q44" s="10" t="s">
        <v>61</v>
      </c>
      <c r="R44" s="10" t="s">
        <v>61</v>
      </c>
      <c r="S44" s="10" t="s">
        <v>61</v>
      </c>
      <c r="T44" s="10" t="s">
        <v>61</v>
      </c>
      <c r="U44" s="10" t="s">
        <v>61</v>
      </c>
      <c r="V44" s="10" t="s">
        <v>61</v>
      </c>
      <c r="W44" s="10" t="s">
        <v>61</v>
      </c>
      <c r="X44" s="10" t="s">
        <v>61</v>
      </c>
      <c r="Y44" s="10" t="s">
        <v>61</v>
      </c>
      <c r="Z44" s="10" t="s">
        <v>61</v>
      </c>
      <c r="AA44" s="10" t="s">
        <v>61</v>
      </c>
      <c r="AB44" s="10" t="s">
        <v>60</v>
      </c>
      <c r="AC44" s="10">
        <v>50</v>
      </c>
      <c r="AD44" s="10" t="s">
        <v>332</v>
      </c>
      <c r="AE44" s="5"/>
      <c r="AF44" s="6"/>
      <c r="AG44" s="6"/>
      <c r="AH44" s="6"/>
    </row>
    <row r="45" spans="1:34" ht="15.75" customHeight="1" x14ac:dyDescent="0.25">
      <c r="A45" s="9" t="s">
        <v>173</v>
      </c>
      <c r="B45" s="10" t="s">
        <v>174</v>
      </c>
      <c r="C45" s="10" t="s">
        <v>93</v>
      </c>
      <c r="D45" s="10" t="s">
        <v>60</v>
      </c>
      <c r="E45" s="10">
        <v>67</v>
      </c>
      <c r="F45" s="11" t="s">
        <v>60</v>
      </c>
      <c r="G45" s="19" t="s">
        <v>61</v>
      </c>
      <c r="H45" s="10" t="s">
        <v>65</v>
      </c>
      <c r="I45" s="10" t="s">
        <v>61</v>
      </c>
      <c r="J45" s="10" t="s">
        <v>61</v>
      </c>
      <c r="K45" s="10" t="s">
        <v>61</v>
      </c>
      <c r="L45" s="23" t="s">
        <v>61</v>
      </c>
      <c r="M45" s="10" t="s">
        <v>61</v>
      </c>
      <c r="N45" s="10" t="s">
        <v>61</v>
      </c>
      <c r="O45" s="10" t="s">
        <v>61</v>
      </c>
      <c r="P45" s="10" t="s">
        <v>61</v>
      </c>
      <c r="Q45" s="10" t="s">
        <v>61</v>
      </c>
      <c r="R45" s="10" t="s">
        <v>61</v>
      </c>
      <c r="S45" s="10" t="s">
        <v>61</v>
      </c>
      <c r="T45" s="10" t="s">
        <v>61</v>
      </c>
      <c r="U45" s="10" t="s">
        <v>61</v>
      </c>
      <c r="V45" s="10" t="s">
        <v>61</v>
      </c>
      <c r="W45" s="10" t="s">
        <v>61</v>
      </c>
      <c r="X45" s="10" t="s">
        <v>61</v>
      </c>
      <c r="Y45" s="10" t="s">
        <v>61</v>
      </c>
      <c r="Z45" s="10" t="s">
        <v>61</v>
      </c>
      <c r="AA45" s="10" t="s">
        <v>61</v>
      </c>
      <c r="AB45" s="10">
        <v>5</v>
      </c>
      <c r="AC45" s="10">
        <v>100</v>
      </c>
      <c r="AD45" s="23" t="s">
        <v>333</v>
      </c>
      <c r="AE45" s="5"/>
      <c r="AF45" s="6"/>
      <c r="AG45" s="6"/>
      <c r="AH45" s="6"/>
    </row>
    <row r="46" spans="1:34" ht="15.75" customHeight="1" x14ac:dyDescent="0.25">
      <c r="A46" s="9" t="s">
        <v>175</v>
      </c>
      <c r="B46" s="10" t="s">
        <v>176</v>
      </c>
      <c r="C46" s="10" t="s">
        <v>119</v>
      </c>
      <c r="D46" s="10" t="s">
        <v>60</v>
      </c>
      <c r="E46" s="10">
        <v>153</v>
      </c>
      <c r="F46" s="11" t="s">
        <v>60</v>
      </c>
      <c r="G46" s="19" t="s">
        <v>61</v>
      </c>
      <c r="H46" s="10" t="s">
        <v>61</v>
      </c>
      <c r="I46" s="10" t="s">
        <v>61</v>
      </c>
      <c r="J46" s="10" t="s">
        <v>61</v>
      </c>
      <c r="K46" s="10" t="s">
        <v>61</v>
      </c>
      <c r="L46" s="10" t="s">
        <v>61</v>
      </c>
      <c r="M46" s="10" t="s">
        <v>61</v>
      </c>
      <c r="N46" s="10" t="s">
        <v>61</v>
      </c>
      <c r="O46" s="10" t="s">
        <v>61</v>
      </c>
      <c r="P46" s="10" t="s">
        <v>61</v>
      </c>
      <c r="Q46" s="10" t="s">
        <v>61</v>
      </c>
      <c r="R46" s="10" t="s">
        <v>61</v>
      </c>
      <c r="S46" s="10" t="s">
        <v>61</v>
      </c>
      <c r="T46" s="10" t="s">
        <v>61</v>
      </c>
      <c r="U46" s="10" t="s">
        <v>61</v>
      </c>
      <c r="V46" s="10" t="s">
        <v>61</v>
      </c>
      <c r="W46" s="10" t="s">
        <v>61</v>
      </c>
      <c r="X46" s="10" t="s">
        <v>61</v>
      </c>
      <c r="Y46" s="10" t="s">
        <v>61</v>
      </c>
      <c r="Z46" s="10" t="s">
        <v>61</v>
      </c>
      <c r="AA46" s="10" t="s">
        <v>61</v>
      </c>
      <c r="AB46" s="10" t="s">
        <v>60</v>
      </c>
      <c r="AC46" s="10" t="s">
        <v>61</v>
      </c>
      <c r="AD46" s="10" t="s">
        <v>334</v>
      </c>
      <c r="AE46" s="5"/>
      <c r="AF46" s="6"/>
      <c r="AG46" s="6"/>
      <c r="AH46" s="6"/>
    </row>
    <row r="47" spans="1:34" ht="15.75" customHeight="1" x14ac:dyDescent="0.25">
      <c r="A47" s="9" t="s">
        <v>177</v>
      </c>
      <c r="B47" s="10" t="s">
        <v>178</v>
      </c>
      <c r="C47" s="10" t="s">
        <v>79</v>
      </c>
      <c r="D47" s="10" t="s">
        <v>60</v>
      </c>
      <c r="E47" s="10">
        <v>149</v>
      </c>
      <c r="F47" s="11" t="s">
        <v>60</v>
      </c>
      <c r="G47" s="19" t="s">
        <v>61</v>
      </c>
      <c r="H47" s="10" t="s">
        <v>65</v>
      </c>
      <c r="I47" s="10" t="s">
        <v>61</v>
      </c>
      <c r="J47" s="10" t="s">
        <v>61</v>
      </c>
      <c r="K47" s="10" t="s">
        <v>61</v>
      </c>
      <c r="L47" s="23" t="s">
        <v>61</v>
      </c>
      <c r="M47" s="10" t="s">
        <v>61</v>
      </c>
      <c r="N47" s="10" t="s">
        <v>61</v>
      </c>
      <c r="O47" s="10" t="s">
        <v>61</v>
      </c>
      <c r="P47" s="10" t="s">
        <v>61</v>
      </c>
      <c r="Q47" s="10" t="s">
        <v>61</v>
      </c>
      <c r="R47" s="10" t="s">
        <v>61</v>
      </c>
      <c r="S47" s="10" t="s">
        <v>61</v>
      </c>
      <c r="T47" s="10" t="s">
        <v>61</v>
      </c>
      <c r="U47" s="10" t="s">
        <v>61</v>
      </c>
      <c r="V47" s="10" t="s">
        <v>61</v>
      </c>
      <c r="W47" s="10" t="s">
        <v>61</v>
      </c>
      <c r="X47" s="10" t="s">
        <v>61</v>
      </c>
      <c r="Y47" s="10" t="s">
        <v>61</v>
      </c>
      <c r="Z47" s="10" t="s">
        <v>61</v>
      </c>
      <c r="AA47" s="10" t="s">
        <v>61</v>
      </c>
      <c r="AB47" s="10">
        <v>5</v>
      </c>
      <c r="AC47" s="10">
        <v>100</v>
      </c>
      <c r="AD47" s="10" t="s">
        <v>436</v>
      </c>
      <c r="AE47" s="5"/>
      <c r="AF47" s="6"/>
      <c r="AG47" s="6"/>
      <c r="AH47" s="6"/>
    </row>
    <row r="48" spans="1:34" ht="15.75" customHeight="1" x14ac:dyDescent="0.25">
      <c r="A48" s="9" t="s">
        <v>179</v>
      </c>
      <c r="B48" s="10" t="s">
        <v>180</v>
      </c>
      <c r="C48" s="10" t="s">
        <v>82</v>
      </c>
      <c r="D48" s="10" t="s">
        <v>60</v>
      </c>
      <c r="E48" s="10">
        <v>25</v>
      </c>
      <c r="F48" s="11" t="s">
        <v>60</v>
      </c>
      <c r="G48" s="19" t="s">
        <v>61</v>
      </c>
      <c r="H48" s="10" t="s">
        <v>65</v>
      </c>
      <c r="I48" s="10" t="s">
        <v>61</v>
      </c>
      <c r="J48" s="10" t="s">
        <v>61</v>
      </c>
      <c r="K48" s="10" t="s">
        <v>61</v>
      </c>
      <c r="L48" s="23" t="s">
        <v>61</v>
      </c>
      <c r="M48" s="10" t="s">
        <v>61</v>
      </c>
      <c r="N48" s="10" t="s">
        <v>61</v>
      </c>
      <c r="O48" s="10" t="s">
        <v>61</v>
      </c>
      <c r="P48" s="10" t="s">
        <v>61</v>
      </c>
      <c r="Q48" s="10" t="s">
        <v>61</v>
      </c>
      <c r="R48" s="10" t="s">
        <v>61</v>
      </c>
      <c r="S48" s="10" t="s">
        <v>61</v>
      </c>
      <c r="T48" s="10" t="s">
        <v>61</v>
      </c>
      <c r="U48" s="10" t="s">
        <v>61</v>
      </c>
      <c r="V48" s="10" t="s">
        <v>61</v>
      </c>
      <c r="W48" s="10" t="s">
        <v>61</v>
      </c>
      <c r="X48" s="10" t="s">
        <v>61</v>
      </c>
      <c r="Y48" s="10" t="s">
        <v>61</v>
      </c>
      <c r="Z48" s="10" t="s">
        <v>61</v>
      </c>
      <c r="AA48" s="10" t="s">
        <v>61</v>
      </c>
      <c r="AB48" s="10" t="s">
        <v>60</v>
      </c>
      <c r="AC48" s="10">
        <v>100</v>
      </c>
      <c r="AD48" s="10" t="s">
        <v>335</v>
      </c>
      <c r="AE48" s="5"/>
      <c r="AF48" s="6"/>
      <c r="AG48" s="6"/>
      <c r="AH48" s="6"/>
    </row>
    <row r="49" spans="1:34" ht="15.75" customHeight="1" x14ac:dyDescent="0.25">
      <c r="A49" s="9" t="s">
        <v>181</v>
      </c>
      <c r="B49" s="10" t="s">
        <v>182</v>
      </c>
      <c r="C49" s="10" t="s">
        <v>183</v>
      </c>
      <c r="D49" s="10" t="s">
        <v>60</v>
      </c>
      <c r="E49" s="10">
        <f>35+38</f>
        <v>73</v>
      </c>
      <c r="F49" s="11" t="s">
        <v>60</v>
      </c>
      <c r="G49" s="19" t="s">
        <v>336</v>
      </c>
      <c r="H49" s="10" t="s">
        <v>61</v>
      </c>
      <c r="I49" s="10" t="s">
        <v>61</v>
      </c>
      <c r="J49" s="10" t="s">
        <v>61</v>
      </c>
      <c r="K49" s="10" t="s">
        <v>61</v>
      </c>
      <c r="L49" s="11" t="s">
        <v>304</v>
      </c>
      <c r="M49" s="10" t="s">
        <v>61</v>
      </c>
      <c r="N49" s="10" t="s">
        <v>398</v>
      </c>
      <c r="O49" s="10">
        <v>0.25</v>
      </c>
      <c r="P49" s="10">
        <v>1.25</v>
      </c>
      <c r="Q49" s="10">
        <v>1.25</v>
      </c>
      <c r="R49" s="10">
        <v>1.25</v>
      </c>
      <c r="S49" s="10">
        <v>1.25</v>
      </c>
      <c r="T49" s="10">
        <v>20</v>
      </c>
      <c r="U49" s="10">
        <v>20</v>
      </c>
      <c r="V49" s="10">
        <v>20</v>
      </c>
      <c r="W49" s="10">
        <v>20</v>
      </c>
      <c r="X49" s="18">
        <v>0.5</v>
      </c>
      <c r="Y49" s="18">
        <v>0.1</v>
      </c>
      <c r="Z49" s="18">
        <v>0.5</v>
      </c>
      <c r="AA49" s="18">
        <v>0.1</v>
      </c>
      <c r="AB49" s="10">
        <v>5</v>
      </c>
      <c r="AC49" s="10">
        <v>100</v>
      </c>
      <c r="AD49" s="10" t="s">
        <v>399</v>
      </c>
      <c r="AE49" s="5"/>
      <c r="AF49" s="6"/>
      <c r="AG49" s="6"/>
      <c r="AH49" s="6"/>
    </row>
    <row r="50" spans="1:34" ht="15.75" customHeight="1" x14ac:dyDescent="0.25">
      <c r="A50" s="9" t="s">
        <v>184</v>
      </c>
      <c r="B50" s="10" t="s">
        <v>185</v>
      </c>
      <c r="C50" s="10" t="s">
        <v>93</v>
      </c>
      <c r="D50" s="10" t="s">
        <v>60</v>
      </c>
      <c r="E50" s="10">
        <v>32</v>
      </c>
      <c r="F50" s="11" t="s">
        <v>60</v>
      </c>
      <c r="G50" s="19" t="s">
        <v>61</v>
      </c>
      <c r="H50" s="10" t="s">
        <v>65</v>
      </c>
      <c r="I50" s="10" t="s">
        <v>61</v>
      </c>
      <c r="J50" s="10" t="s">
        <v>61</v>
      </c>
      <c r="K50" s="10" t="s">
        <v>61</v>
      </c>
      <c r="L50" s="11" t="s">
        <v>297</v>
      </c>
      <c r="M50" s="10">
        <v>2000</v>
      </c>
      <c r="N50" s="10" t="s">
        <v>61</v>
      </c>
      <c r="O50" s="10" t="s">
        <v>61</v>
      </c>
      <c r="P50" s="10">
        <v>250</v>
      </c>
      <c r="Q50" s="10">
        <v>250</v>
      </c>
      <c r="R50" s="10">
        <v>250</v>
      </c>
      <c r="S50" s="10">
        <v>250</v>
      </c>
      <c r="T50" s="10" t="s">
        <v>61</v>
      </c>
      <c r="U50" s="10" t="s">
        <v>61</v>
      </c>
      <c r="V50" s="10" t="s">
        <v>61</v>
      </c>
      <c r="W50" s="10" t="s">
        <v>61</v>
      </c>
      <c r="X50" s="10" t="s">
        <v>61</v>
      </c>
      <c r="Y50" s="10" t="s">
        <v>61</v>
      </c>
      <c r="Z50" s="10" t="s">
        <v>61</v>
      </c>
      <c r="AA50" s="10" t="s">
        <v>61</v>
      </c>
      <c r="AB50" s="10">
        <v>5</v>
      </c>
      <c r="AC50" s="10">
        <v>100</v>
      </c>
      <c r="AD50" s="10" t="s">
        <v>337</v>
      </c>
      <c r="AE50" s="5"/>
      <c r="AF50" s="6"/>
      <c r="AG50" s="6"/>
      <c r="AH50" s="6"/>
    </row>
    <row r="51" spans="1:34" ht="15.75" customHeight="1" x14ac:dyDescent="0.25">
      <c r="A51" s="9" t="s">
        <v>186</v>
      </c>
      <c r="B51" s="10" t="s">
        <v>187</v>
      </c>
      <c r="C51" s="10" t="s">
        <v>85</v>
      </c>
      <c r="D51" s="10" t="s">
        <v>60</v>
      </c>
      <c r="E51" s="10">
        <v>78</v>
      </c>
      <c r="F51" s="11" t="s">
        <v>60</v>
      </c>
      <c r="G51" s="19" t="s">
        <v>309</v>
      </c>
      <c r="H51" s="10" t="s">
        <v>62</v>
      </c>
      <c r="I51" s="10" t="s">
        <v>70</v>
      </c>
      <c r="J51" s="10" t="s">
        <v>61</v>
      </c>
      <c r="K51" s="17" t="s">
        <v>317</v>
      </c>
      <c r="L51" s="11" t="s">
        <v>304</v>
      </c>
      <c r="M51" s="10">
        <v>2000</v>
      </c>
      <c r="N51" s="10" t="s">
        <v>61</v>
      </c>
      <c r="O51" s="10" t="s">
        <v>61</v>
      </c>
      <c r="P51" s="10" t="s">
        <v>61</v>
      </c>
      <c r="Q51" s="10" t="s">
        <v>61</v>
      </c>
      <c r="R51" s="10" t="s">
        <v>61</v>
      </c>
      <c r="S51" s="10" t="s">
        <v>61</v>
      </c>
      <c r="T51" s="10" t="s">
        <v>61</v>
      </c>
      <c r="U51" s="10" t="s">
        <v>61</v>
      </c>
      <c r="V51" s="10" t="s">
        <v>61</v>
      </c>
      <c r="W51" s="10" t="s">
        <v>61</v>
      </c>
      <c r="X51" s="10" t="s">
        <v>61</v>
      </c>
      <c r="Y51" s="10" t="s">
        <v>61</v>
      </c>
      <c r="Z51" s="10" t="s">
        <v>61</v>
      </c>
      <c r="AA51" s="10" t="s">
        <v>61</v>
      </c>
      <c r="AB51" s="10" t="s">
        <v>60</v>
      </c>
      <c r="AC51" s="10">
        <v>100</v>
      </c>
      <c r="AD51" s="24" t="s">
        <v>338</v>
      </c>
      <c r="AE51" s="5"/>
      <c r="AF51" s="6"/>
      <c r="AG51" s="6"/>
      <c r="AH51" s="6"/>
    </row>
    <row r="52" spans="1:34" ht="15.75" customHeight="1" x14ac:dyDescent="0.25">
      <c r="A52" s="9" t="s">
        <v>188</v>
      </c>
      <c r="B52" s="10" t="s">
        <v>189</v>
      </c>
      <c r="C52" s="10" t="s">
        <v>111</v>
      </c>
      <c r="D52" s="10" t="s">
        <v>60</v>
      </c>
      <c r="E52" s="10">
        <v>62</v>
      </c>
      <c r="F52" s="11" t="s">
        <v>60</v>
      </c>
      <c r="G52" s="19" t="s">
        <v>61</v>
      </c>
      <c r="H52" s="10" t="s">
        <v>65</v>
      </c>
      <c r="I52" s="10" t="s">
        <v>61</v>
      </c>
      <c r="J52" s="10" t="s">
        <v>61</v>
      </c>
      <c r="K52" s="10" t="s">
        <v>61</v>
      </c>
      <c r="L52" s="11" t="s">
        <v>304</v>
      </c>
      <c r="M52" s="10">
        <v>2000</v>
      </c>
      <c r="N52" s="10">
        <v>50</v>
      </c>
      <c r="O52" s="10">
        <v>100</v>
      </c>
      <c r="P52" s="10">
        <v>250</v>
      </c>
      <c r="Q52" s="10">
        <v>250</v>
      </c>
      <c r="R52" s="10">
        <v>-250</v>
      </c>
      <c r="S52" s="10">
        <v>-250</v>
      </c>
      <c r="T52" s="10">
        <v>10</v>
      </c>
      <c r="U52" s="10">
        <v>10</v>
      </c>
      <c r="V52" s="10">
        <v>10</v>
      </c>
      <c r="W52" s="10">
        <v>10</v>
      </c>
      <c r="X52" s="18">
        <v>0.5</v>
      </c>
      <c r="Y52" s="18">
        <v>0.1</v>
      </c>
      <c r="Z52" s="18">
        <v>0.5</v>
      </c>
      <c r="AA52" s="18">
        <v>0.1</v>
      </c>
      <c r="AB52" s="10" t="s">
        <v>60</v>
      </c>
      <c r="AC52" s="10">
        <v>100</v>
      </c>
      <c r="AD52" s="17" t="s">
        <v>322</v>
      </c>
      <c r="AE52" s="5"/>
      <c r="AF52" s="6"/>
      <c r="AG52" s="6"/>
      <c r="AH52" s="6"/>
    </row>
    <row r="53" spans="1:34" ht="15.75" customHeight="1" x14ac:dyDescent="0.25">
      <c r="A53" s="9" t="s">
        <v>190</v>
      </c>
      <c r="B53" s="10" t="s">
        <v>191</v>
      </c>
      <c r="C53" s="10" t="s">
        <v>73</v>
      </c>
      <c r="D53" s="10" t="s">
        <v>60</v>
      </c>
      <c r="E53" s="10">
        <f>14+32</f>
        <v>46</v>
      </c>
      <c r="F53" s="10" t="s">
        <v>339</v>
      </c>
      <c r="G53" s="19" t="s">
        <v>64</v>
      </c>
      <c r="H53" s="10" t="s">
        <v>65</v>
      </c>
      <c r="I53" s="10" t="s">
        <v>66</v>
      </c>
      <c r="J53" s="10" t="s">
        <v>67</v>
      </c>
      <c r="K53" s="10" t="s">
        <v>61</v>
      </c>
      <c r="L53" s="10" t="s">
        <v>297</v>
      </c>
      <c r="M53" s="10">
        <v>200000</v>
      </c>
      <c r="N53" s="10">
        <v>10000</v>
      </c>
      <c r="O53" s="10">
        <v>5000</v>
      </c>
      <c r="P53" s="10">
        <v>25000</v>
      </c>
      <c r="Q53" s="10">
        <v>25000</v>
      </c>
      <c r="R53" s="10">
        <v>-25000</v>
      </c>
      <c r="S53" s="10">
        <v>-25000</v>
      </c>
      <c r="T53" s="10">
        <v>10</v>
      </c>
      <c r="U53" s="10">
        <v>10</v>
      </c>
      <c r="V53" s="10">
        <v>10</v>
      </c>
      <c r="W53" s="10">
        <v>10</v>
      </c>
      <c r="X53" s="18">
        <v>0.5</v>
      </c>
      <c r="Y53" s="18">
        <v>0.1</v>
      </c>
      <c r="Z53" s="18">
        <v>0.5</v>
      </c>
      <c r="AA53" s="18">
        <v>0.1</v>
      </c>
      <c r="AB53" s="10">
        <v>5</v>
      </c>
      <c r="AC53" s="10">
        <v>100</v>
      </c>
      <c r="AD53" s="10" t="s">
        <v>384</v>
      </c>
      <c r="AE53" s="5"/>
      <c r="AF53" s="6"/>
      <c r="AG53" s="6"/>
      <c r="AH53" s="6"/>
    </row>
    <row r="54" spans="1:34" ht="15.75" customHeight="1" x14ac:dyDescent="0.25">
      <c r="A54" s="9" t="s">
        <v>190</v>
      </c>
      <c r="B54" s="10" t="s">
        <v>191</v>
      </c>
      <c r="C54" s="10" t="s">
        <v>73</v>
      </c>
      <c r="D54" s="10" t="s">
        <v>60</v>
      </c>
      <c r="E54" s="10">
        <f>14+32</f>
        <v>46</v>
      </c>
      <c r="F54" s="10" t="s">
        <v>351</v>
      </c>
      <c r="G54" s="19" t="s">
        <v>420</v>
      </c>
      <c r="H54" s="10" t="s">
        <v>65</v>
      </c>
      <c r="I54" s="10" t="s">
        <v>70</v>
      </c>
      <c r="J54" s="10" t="s">
        <v>67</v>
      </c>
      <c r="K54" s="10" t="s">
        <v>61</v>
      </c>
      <c r="L54" s="11" t="s">
        <v>297</v>
      </c>
      <c r="M54" s="10">
        <v>200000</v>
      </c>
      <c r="N54" s="25" t="s">
        <v>299</v>
      </c>
      <c r="O54" s="25" t="s">
        <v>301</v>
      </c>
      <c r="P54" s="10">
        <v>25000</v>
      </c>
      <c r="Q54" s="10">
        <v>25000</v>
      </c>
      <c r="R54" s="10">
        <v>-25000</v>
      </c>
      <c r="S54" s="10">
        <v>-25000</v>
      </c>
      <c r="T54" s="10">
        <v>10</v>
      </c>
      <c r="U54" s="10">
        <v>10</v>
      </c>
      <c r="V54" s="10">
        <v>10</v>
      </c>
      <c r="W54" s="10">
        <v>10</v>
      </c>
      <c r="X54" s="18">
        <v>0.5</v>
      </c>
      <c r="Y54" s="18">
        <v>0.1</v>
      </c>
      <c r="Z54" s="18">
        <v>0.5</v>
      </c>
      <c r="AA54" s="18">
        <v>0.1</v>
      </c>
      <c r="AB54" s="10">
        <v>5</v>
      </c>
      <c r="AC54" s="10">
        <v>100</v>
      </c>
      <c r="AD54" s="20" t="s">
        <v>421</v>
      </c>
      <c r="AE54" s="5"/>
      <c r="AF54" s="6"/>
      <c r="AG54" s="6"/>
      <c r="AH54" s="6"/>
    </row>
    <row r="55" spans="1:34" ht="15.75" customHeight="1" x14ac:dyDescent="0.25">
      <c r="A55" s="9" t="s">
        <v>192</v>
      </c>
      <c r="B55" s="10" t="s">
        <v>193</v>
      </c>
      <c r="C55" s="10" t="s">
        <v>82</v>
      </c>
      <c r="D55" s="10" t="s">
        <v>60</v>
      </c>
      <c r="E55" s="10">
        <v>39</v>
      </c>
      <c r="F55" s="10" t="s">
        <v>339</v>
      </c>
      <c r="G55" s="19" t="s">
        <v>64</v>
      </c>
      <c r="H55" s="10" t="s">
        <v>65</v>
      </c>
      <c r="I55" s="10" t="s">
        <v>66</v>
      </c>
      <c r="J55" s="10" t="s">
        <v>67</v>
      </c>
      <c r="K55" s="10" t="s">
        <v>61</v>
      </c>
      <c r="L55" s="11" t="s">
        <v>304</v>
      </c>
      <c r="M55" s="10">
        <v>2000</v>
      </c>
      <c r="N55" s="10">
        <v>50</v>
      </c>
      <c r="O55" s="10">
        <v>100</v>
      </c>
      <c r="P55" s="10">
        <v>250</v>
      </c>
      <c r="Q55" s="10">
        <v>250</v>
      </c>
      <c r="R55" s="10">
        <v>-250</v>
      </c>
      <c r="S55" s="10">
        <v>-250</v>
      </c>
      <c r="T55" s="10">
        <v>10</v>
      </c>
      <c r="U55" s="10">
        <v>10</v>
      </c>
      <c r="V55" s="10">
        <v>10</v>
      </c>
      <c r="W55" s="10">
        <v>10</v>
      </c>
      <c r="X55" s="18">
        <v>0.5</v>
      </c>
      <c r="Y55" s="18">
        <v>0.1</v>
      </c>
      <c r="Z55" s="18">
        <v>0.5</v>
      </c>
      <c r="AA55" s="18">
        <v>0.1</v>
      </c>
      <c r="AB55" s="10">
        <v>5</v>
      </c>
      <c r="AC55" s="10">
        <v>100</v>
      </c>
      <c r="AD55" s="10" t="s">
        <v>341</v>
      </c>
      <c r="AE55" s="5"/>
      <c r="AF55" s="6"/>
      <c r="AG55" s="6"/>
      <c r="AH55" s="6"/>
    </row>
    <row r="56" spans="1:34" ht="15.75" customHeight="1" x14ac:dyDescent="0.25">
      <c r="A56" s="9" t="s">
        <v>192</v>
      </c>
      <c r="B56" s="10" t="s">
        <v>193</v>
      </c>
      <c r="C56" s="10" t="s">
        <v>82</v>
      </c>
      <c r="D56" s="10" t="s">
        <v>60</v>
      </c>
      <c r="E56" s="10">
        <v>39</v>
      </c>
      <c r="F56" s="10" t="s">
        <v>340</v>
      </c>
      <c r="G56" s="19" t="s">
        <v>400</v>
      </c>
      <c r="H56" s="10" t="s">
        <v>65</v>
      </c>
      <c r="I56" s="10" t="s">
        <v>61</v>
      </c>
      <c r="J56" s="10" t="s">
        <v>71</v>
      </c>
      <c r="K56" s="10" t="s">
        <v>61</v>
      </c>
      <c r="L56" s="11" t="s">
        <v>304</v>
      </c>
      <c r="M56" s="10" t="s">
        <v>61</v>
      </c>
      <c r="N56" s="10">
        <v>20</v>
      </c>
      <c r="O56" s="10" t="s">
        <v>401</v>
      </c>
      <c r="P56" s="10">
        <v>200</v>
      </c>
      <c r="Q56" s="10">
        <v>200</v>
      </c>
      <c r="R56" s="10">
        <v>0</v>
      </c>
      <c r="S56" s="10">
        <v>0</v>
      </c>
      <c r="T56" s="10">
        <v>10</v>
      </c>
      <c r="U56" s="10">
        <v>10</v>
      </c>
      <c r="V56" s="10">
        <v>10</v>
      </c>
      <c r="W56" s="10">
        <v>10</v>
      </c>
      <c r="X56" s="18">
        <v>0</v>
      </c>
      <c r="Y56" s="18">
        <v>0</v>
      </c>
      <c r="Z56" s="18">
        <v>0.5</v>
      </c>
      <c r="AA56" s="18">
        <v>0.5</v>
      </c>
      <c r="AB56" s="10">
        <v>5</v>
      </c>
      <c r="AC56" s="10">
        <v>100</v>
      </c>
      <c r="AD56" s="10" t="s">
        <v>406</v>
      </c>
      <c r="AE56" s="5"/>
      <c r="AF56" s="6"/>
      <c r="AG56" s="6"/>
      <c r="AH56" s="6"/>
    </row>
    <row r="57" spans="1:34" ht="15.75" customHeight="1" x14ac:dyDescent="0.25">
      <c r="A57" s="9" t="s">
        <v>194</v>
      </c>
      <c r="B57" s="10" t="s">
        <v>195</v>
      </c>
      <c r="C57" s="10" t="s">
        <v>93</v>
      </c>
      <c r="D57" s="10" t="s">
        <v>60</v>
      </c>
      <c r="E57" s="10">
        <v>107</v>
      </c>
      <c r="F57" s="11" t="s">
        <v>60</v>
      </c>
      <c r="G57" s="19" t="s">
        <v>61</v>
      </c>
      <c r="H57" s="10" t="s">
        <v>65</v>
      </c>
      <c r="I57" s="10" t="s">
        <v>61</v>
      </c>
      <c r="J57" s="10" t="s">
        <v>61</v>
      </c>
      <c r="K57" s="10" t="s">
        <v>61</v>
      </c>
      <c r="L57" s="24" t="s">
        <v>61</v>
      </c>
      <c r="M57" s="10" t="s">
        <v>61</v>
      </c>
      <c r="N57" s="10" t="s">
        <v>61</v>
      </c>
      <c r="O57" s="10" t="s">
        <v>61</v>
      </c>
      <c r="P57" s="10" t="s">
        <v>61</v>
      </c>
      <c r="Q57" s="10" t="s">
        <v>61</v>
      </c>
      <c r="R57" s="10" t="s">
        <v>61</v>
      </c>
      <c r="S57" s="10" t="s">
        <v>61</v>
      </c>
      <c r="T57" s="10" t="s">
        <v>61</v>
      </c>
      <c r="U57" s="10" t="s">
        <v>61</v>
      </c>
      <c r="V57" s="10" t="s">
        <v>61</v>
      </c>
      <c r="W57" s="10" t="s">
        <v>61</v>
      </c>
      <c r="X57" s="10" t="s">
        <v>61</v>
      </c>
      <c r="Y57" s="10" t="s">
        <v>61</v>
      </c>
      <c r="Z57" s="10" t="s">
        <v>61</v>
      </c>
      <c r="AA57" s="10" t="s">
        <v>61</v>
      </c>
      <c r="AB57" s="10">
        <v>5</v>
      </c>
      <c r="AC57" s="10">
        <v>100</v>
      </c>
      <c r="AD57" s="10" t="s">
        <v>342</v>
      </c>
      <c r="AE57" s="5"/>
      <c r="AF57" s="6"/>
      <c r="AG57" s="6"/>
      <c r="AH57" s="6"/>
    </row>
    <row r="58" spans="1:34" ht="15.75" customHeight="1" x14ac:dyDescent="0.25">
      <c r="A58" s="9" t="s">
        <v>196</v>
      </c>
      <c r="B58" s="10" t="s">
        <v>197</v>
      </c>
      <c r="C58" s="10" t="s">
        <v>111</v>
      </c>
      <c r="D58" s="10" t="s">
        <v>60</v>
      </c>
      <c r="E58" s="10">
        <f>35+39</f>
        <v>74</v>
      </c>
      <c r="F58" s="11" t="s">
        <v>60</v>
      </c>
      <c r="G58" s="19" t="s">
        <v>311</v>
      </c>
      <c r="H58" s="10" t="s">
        <v>61</v>
      </c>
      <c r="I58" s="10" t="s">
        <v>61</v>
      </c>
      <c r="J58" s="10" t="s">
        <v>61</v>
      </c>
      <c r="K58" s="10" t="s">
        <v>61</v>
      </c>
      <c r="L58" s="24" t="s">
        <v>61</v>
      </c>
      <c r="M58" s="10" t="s">
        <v>61</v>
      </c>
      <c r="N58" s="10" t="s">
        <v>392</v>
      </c>
      <c r="O58" s="10" t="s">
        <v>393</v>
      </c>
      <c r="P58" s="10" t="s">
        <v>394</v>
      </c>
      <c r="Q58" s="10" t="s">
        <v>394</v>
      </c>
      <c r="R58" s="21" t="s">
        <v>395</v>
      </c>
      <c r="S58" s="21" t="s">
        <v>395</v>
      </c>
      <c r="T58" s="10">
        <v>10</v>
      </c>
      <c r="U58" s="10">
        <v>10</v>
      </c>
      <c r="V58" s="10">
        <v>10</v>
      </c>
      <c r="W58" s="10">
        <v>10</v>
      </c>
      <c r="X58" s="10" t="s">
        <v>396</v>
      </c>
      <c r="Y58" s="18">
        <v>0.1</v>
      </c>
      <c r="Z58" s="10" t="s">
        <v>396</v>
      </c>
      <c r="AA58" s="18">
        <v>0.1</v>
      </c>
      <c r="AB58" s="10">
        <v>5</v>
      </c>
      <c r="AC58" s="10">
        <v>100</v>
      </c>
      <c r="AD58" s="10" t="s">
        <v>388</v>
      </c>
      <c r="AE58" s="5"/>
      <c r="AF58" s="6"/>
      <c r="AG58" s="6"/>
      <c r="AH58" s="6"/>
    </row>
    <row r="59" spans="1:34" ht="15.75" customHeight="1" x14ac:dyDescent="0.25">
      <c r="A59" s="9" t="s">
        <v>198</v>
      </c>
      <c r="B59" s="10" t="s">
        <v>199</v>
      </c>
      <c r="C59" s="10" t="s">
        <v>82</v>
      </c>
      <c r="D59" s="10" t="s">
        <v>60</v>
      </c>
      <c r="E59" s="10">
        <v>31</v>
      </c>
      <c r="F59" s="11" t="s">
        <v>60</v>
      </c>
      <c r="G59" s="19" t="s">
        <v>61</v>
      </c>
      <c r="H59" s="10" t="s">
        <v>65</v>
      </c>
      <c r="I59" s="10" t="s">
        <v>61</v>
      </c>
      <c r="J59" s="10" t="s">
        <v>61</v>
      </c>
      <c r="K59" s="10" t="s">
        <v>61</v>
      </c>
      <c r="L59" s="11" t="s">
        <v>294</v>
      </c>
      <c r="M59" s="10">
        <v>2000</v>
      </c>
      <c r="N59" s="10" t="s">
        <v>61</v>
      </c>
      <c r="O59" s="10" t="s">
        <v>61</v>
      </c>
      <c r="P59" s="10" t="s">
        <v>61</v>
      </c>
      <c r="Q59" s="10" t="s">
        <v>61</v>
      </c>
      <c r="R59" s="10" t="s">
        <v>61</v>
      </c>
      <c r="S59" s="10" t="s">
        <v>61</v>
      </c>
      <c r="T59" s="10" t="s">
        <v>61</v>
      </c>
      <c r="U59" s="10" t="s">
        <v>61</v>
      </c>
      <c r="V59" s="10" t="s">
        <v>61</v>
      </c>
      <c r="W59" s="10" t="s">
        <v>61</v>
      </c>
      <c r="X59" s="10" t="s">
        <v>61</v>
      </c>
      <c r="Y59" s="10" t="s">
        <v>61</v>
      </c>
      <c r="Z59" s="10" t="s">
        <v>61</v>
      </c>
      <c r="AA59" s="10" t="s">
        <v>61</v>
      </c>
      <c r="AB59" s="10">
        <v>5</v>
      </c>
      <c r="AC59" s="10">
        <v>100</v>
      </c>
      <c r="AD59" s="10" t="s">
        <v>343</v>
      </c>
      <c r="AE59" s="5"/>
      <c r="AF59" s="6"/>
      <c r="AG59" s="6"/>
      <c r="AH59" s="6"/>
    </row>
    <row r="60" spans="1:34" ht="15.75" customHeight="1" x14ac:dyDescent="0.25">
      <c r="A60" s="9" t="s">
        <v>200</v>
      </c>
      <c r="B60" s="10" t="s">
        <v>201</v>
      </c>
      <c r="C60" s="10" t="s">
        <v>125</v>
      </c>
      <c r="D60" s="10" t="s">
        <v>60</v>
      </c>
      <c r="E60" s="10">
        <f>11+15</f>
        <v>26</v>
      </c>
      <c r="F60" s="11" t="s">
        <v>60</v>
      </c>
      <c r="G60" s="19" t="s">
        <v>64</v>
      </c>
      <c r="H60" s="10" t="s">
        <v>65</v>
      </c>
      <c r="I60" s="10" t="s">
        <v>66</v>
      </c>
      <c r="J60" s="10" t="s">
        <v>67</v>
      </c>
      <c r="K60" s="10" t="s">
        <v>61</v>
      </c>
      <c r="L60" s="11" t="s">
        <v>304</v>
      </c>
      <c r="M60" s="10" t="s">
        <v>61</v>
      </c>
      <c r="N60" s="10">
        <v>50</v>
      </c>
      <c r="O60" s="10">
        <v>100</v>
      </c>
      <c r="P60" s="10">
        <v>250</v>
      </c>
      <c r="Q60" s="10">
        <v>250</v>
      </c>
      <c r="R60" s="10">
        <v>-250</v>
      </c>
      <c r="S60" s="10">
        <v>-250</v>
      </c>
      <c r="T60" s="10">
        <v>10</v>
      </c>
      <c r="U60" s="10">
        <v>10</v>
      </c>
      <c r="V60" s="10">
        <v>10</v>
      </c>
      <c r="W60" s="10">
        <v>10</v>
      </c>
      <c r="X60" s="18">
        <v>0.5</v>
      </c>
      <c r="Y60" s="18">
        <v>0.1</v>
      </c>
      <c r="Z60" s="18">
        <v>0.5</v>
      </c>
      <c r="AA60" s="18">
        <v>0.1</v>
      </c>
      <c r="AB60" s="10">
        <v>5</v>
      </c>
      <c r="AC60" s="10">
        <v>100</v>
      </c>
      <c r="AD60" s="10" t="s">
        <v>344</v>
      </c>
      <c r="AE60" s="5"/>
      <c r="AF60" s="6"/>
      <c r="AG60" s="6"/>
      <c r="AH60" s="6"/>
    </row>
    <row r="61" spans="1:34" ht="15.75" customHeight="1" x14ac:dyDescent="0.25">
      <c r="A61" s="9" t="s">
        <v>202</v>
      </c>
      <c r="B61" s="10" t="s">
        <v>203</v>
      </c>
      <c r="C61" s="10" t="s">
        <v>105</v>
      </c>
      <c r="D61" s="10" t="s">
        <v>60</v>
      </c>
      <c r="E61" s="10">
        <v>50</v>
      </c>
      <c r="F61" s="11" t="s">
        <v>60</v>
      </c>
      <c r="G61" s="19" t="s">
        <v>412</v>
      </c>
      <c r="H61" s="10" t="s">
        <v>65</v>
      </c>
      <c r="I61" s="10" t="s">
        <v>66</v>
      </c>
      <c r="J61" s="10" t="s">
        <v>61</v>
      </c>
      <c r="K61" s="10" t="s">
        <v>61</v>
      </c>
      <c r="L61" s="11" t="s">
        <v>294</v>
      </c>
      <c r="M61" s="10">
        <v>2000</v>
      </c>
      <c r="N61" s="10">
        <v>50</v>
      </c>
      <c r="O61" s="10">
        <v>100</v>
      </c>
      <c r="P61" s="10">
        <v>250</v>
      </c>
      <c r="Q61" s="10">
        <v>250</v>
      </c>
      <c r="R61" s="10">
        <v>-250</v>
      </c>
      <c r="S61" s="10">
        <v>-250</v>
      </c>
      <c r="T61" s="10">
        <v>10</v>
      </c>
      <c r="U61" s="10">
        <v>10</v>
      </c>
      <c r="V61" s="10">
        <v>10</v>
      </c>
      <c r="W61" s="10">
        <v>10</v>
      </c>
      <c r="X61" s="18">
        <v>0.5</v>
      </c>
      <c r="Y61" s="18">
        <v>0.1</v>
      </c>
      <c r="Z61" s="18">
        <v>0.5</v>
      </c>
      <c r="AA61" s="18">
        <v>0.1</v>
      </c>
      <c r="AB61" s="10" t="s">
        <v>60</v>
      </c>
      <c r="AC61" s="10">
        <v>100</v>
      </c>
      <c r="AD61" s="10" t="s">
        <v>422</v>
      </c>
      <c r="AE61" s="5"/>
      <c r="AF61" s="6"/>
      <c r="AG61" s="6"/>
      <c r="AH61" s="6"/>
    </row>
    <row r="62" spans="1:34" ht="15.75" customHeight="1" x14ac:dyDescent="0.25">
      <c r="A62" s="9" t="s">
        <v>204</v>
      </c>
      <c r="B62" s="10" t="s">
        <v>205</v>
      </c>
      <c r="C62" s="10" t="s">
        <v>85</v>
      </c>
      <c r="D62" s="10" t="s">
        <v>60</v>
      </c>
      <c r="E62" s="10">
        <v>51</v>
      </c>
      <c r="F62" s="11" t="s">
        <v>60</v>
      </c>
      <c r="G62" s="19" t="s">
        <v>61</v>
      </c>
      <c r="H62" s="10" t="s">
        <v>61</v>
      </c>
      <c r="I62" s="10" t="s">
        <v>61</v>
      </c>
      <c r="J62" s="10" t="s">
        <v>61</v>
      </c>
      <c r="K62" s="10" t="s">
        <v>61</v>
      </c>
      <c r="L62" s="11" t="s">
        <v>294</v>
      </c>
      <c r="M62" s="10" t="s">
        <v>61</v>
      </c>
      <c r="N62" s="10" t="s">
        <v>61</v>
      </c>
      <c r="O62" s="10" t="s">
        <v>61</v>
      </c>
      <c r="P62" s="10">
        <v>250</v>
      </c>
      <c r="Q62" s="10">
        <v>250</v>
      </c>
      <c r="R62" s="10">
        <v>-250</v>
      </c>
      <c r="S62" s="10">
        <v>-250</v>
      </c>
      <c r="T62" s="10">
        <v>10</v>
      </c>
      <c r="U62" s="10">
        <v>10</v>
      </c>
      <c r="V62" s="10">
        <v>10</v>
      </c>
      <c r="W62" s="10">
        <v>10</v>
      </c>
      <c r="X62" s="10" t="s">
        <v>61</v>
      </c>
      <c r="Y62" s="10" t="s">
        <v>61</v>
      </c>
      <c r="Z62" s="10" t="s">
        <v>61</v>
      </c>
      <c r="AA62" s="10" t="s">
        <v>61</v>
      </c>
      <c r="AB62" s="10">
        <v>5</v>
      </c>
      <c r="AC62" s="10">
        <v>100</v>
      </c>
      <c r="AD62" s="10" t="s">
        <v>442</v>
      </c>
      <c r="AE62" s="5"/>
      <c r="AF62" s="6"/>
      <c r="AG62" s="6"/>
      <c r="AH62" s="6"/>
    </row>
    <row r="63" spans="1:34" ht="15.75" customHeight="1" x14ac:dyDescent="0.25">
      <c r="A63" s="9" t="s">
        <v>206</v>
      </c>
      <c r="B63" s="10" t="s">
        <v>207</v>
      </c>
      <c r="C63" s="10" t="s">
        <v>88</v>
      </c>
      <c r="D63" s="10" t="s">
        <v>60</v>
      </c>
      <c r="E63" s="10">
        <v>20</v>
      </c>
      <c r="F63" s="11" t="s">
        <v>60</v>
      </c>
      <c r="G63" s="19" t="s">
        <v>61</v>
      </c>
      <c r="H63" s="10" t="s">
        <v>65</v>
      </c>
      <c r="I63" s="10" t="s">
        <v>61</v>
      </c>
      <c r="J63" s="10" t="s">
        <v>61</v>
      </c>
      <c r="K63" s="17" t="s">
        <v>317</v>
      </c>
      <c r="L63" s="24" t="s">
        <v>61</v>
      </c>
      <c r="M63" s="10" t="s">
        <v>61</v>
      </c>
      <c r="N63" s="10" t="s">
        <v>61</v>
      </c>
      <c r="O63" s="10" t="s">
        <v>61</v>
      </c>
      <c r="P63" s="10" t="s">
        <v>61</v>
      </c>
      <c r="Q63" s="10" t="s">
        <v>61</v>
      </c>
      <c r="R63" s="10" t="s">
        <v>61</v>
      </c>
      <c r="S63" s="10" t="s">
        <v>61</v>
      </c>
      <c r="T63" s="10" t="s">
        <v>61</v>
      </c>
      <c r="U63" s="10" t="s">
        <v>61</v>
      </c>
      <c r="V63" s="10" t="s">
        <v>61</v>
      </c>
      <c r="W63" s="10" t="s">
        <v>61</v>
      </c>
      <c r="X63" s="10" t="s">
        <v>61</v>
      </c>
      <c r="Y63" s="10" t="s">
        <v>61</v>
      </c>
      <c r="Z63" s="10" t="s">
        <v>61</v>
      </c>
      <c r="AA63" s="10" t="s">
        <v>61</v>
      </c>
      <c r="AB63" s="10" t="s">
        <v>60</v>
      </c>
      <c r="AC63" s="10">
        <v>100</v>
      </c>
      <c r="AD63" s="24" t="s">
        <v>345</v>
      </c>
      <c r="AE63" s="5"/>
      <c r="AF63" s="6"/>
      <c r="AG63" s="6"/>
      <c r="AH63" s="6"/>
    </row>
    <row r="64" spans="1:34" ht="15.75" customHeight="1" x14ac:dyDescent="0.25">
      <c r="A64" s="9" t="s">
        <v>208</v>
      </c>
      <c r="B64" s="10" t="s">
        <v>110</v>
      </c>
      <c r="C64" s="10" t="s">
        <v>119</v>
      </c>
      <c r="D64" s="10" t="s">
        <v>60</v>
      </c>
      <c r="E64" s="10">
        <v>27</v>
      </c>
      <c r="F64" s="11" t="s">
        <v>60</v>
      </c>
      <c r="G64" s="19" t="s">
        <v>64</v>
      </c>
      <c r="H64" s="10" t="s">
        <v>65</v>
      </c>
      <c r="I64" s="10" t="s">
        <v>66</v>
      </c>
      <c r="J64" s="10" t="s">
        <v>67</v>
      </c>
      <c r="K64" s="10" t="s">
        <v>61</v>
      </c>
      <c r="L64" s="11" t="s">
        <v>298</v>
      </c>
      <c r="M64" s="10">
        <v>200</v>
      </c>
      <c r="N64" s="10">
        <v>5</v>
      </c>
      <c r="O64" s="10">
        <v>10</v>
      </c>
      <c r="P64" s="10">
        <v>25</v>
      </c>
      <c r="Q64" s="10">
        <v>25</v>
      </c>
      <c r="R64" s="10">
        <v>-25</v>
      </c>
      <c r="S64" s="10">
        <v>-25</v>
      </c>
      <c r="T64" s="10">
        <v>10</v>
      </c>
      <c r="U64" s="10">
        <v>10</v>
      </c>
      <c r="V64" s="10">
        <v>10</v>
      </c>
      <c r="W64" s="10">
        <v>10</v>
      </c>
      <c r="X64" s="18">
        <v>0.5</v>
      </c>
      <c r="Y64" s="18">
        <v>0.1</v>
      </c>
      <c r="Z64" s="18">
        <v>0.5</v>
      </c>
      <c r="AA64" s="18">
        <v>0.1</v>
      </c>
      <c r="AB64" s="10">
        <v>5</v>
      </c>
      <c r="AC64" s="10">
        <v>100</v>
      </c>
      <c r="AD64" s="10" t="s">
        <v>346</v>
      </c>
      <c r="AE64" s="5"/>
      <c r="AF64" s="6"/>
      <c r="AG64" s="6"/>
      <c r="AH64" s="6"/>
    </row>
    <row r="65" spans="1:34" ht="15.75" customHeight="1" x14ac:dyDescent="0.25">
      <c r="A65" s="9" t="s">
        <v>209</v>
      </c>
      <c r="B65" s="10" t="s">
        <v>210</v>
      </c>
      <c r="C65" s="10" t="s">
        <v>79</v>
      </c>
      <c r="D65" s="10" t="s">
        <v>60</v>
      </c>
      <c r="E65" s="10">
        <v>265</v>
      </c>
      <c r="F65" s="19" t="s">
        <v>347</v>
      </c>
      <c r="G65" s="19" t="s">
        <v>64</v>
      </c>
      <c r="H65" s="10" t="s">
        <v>65</v>
      </c>
      <c r="I65" s="10" t="s">
        <v>66</v>
      </c>
      <c r="J65" s="10" t="s">
        <v>67</v>
      </c>
      <c r="K65" s="10" t="s">
        <v>313</v>
      </c>
      <c r="L65" s="10" t="s">
        <v>304</v>
      </c>
      <c r="M65" s="10">
        <v>2000</v>
      </c>
      <c r="N65" s="10">
        <v>50</v>
      </c>
      <c r="O65" s="10">
        <v>10</v>
      </c>
      <c r="P65" s="10">
        <v>250</v>
      </c>
      <c r="Q65" s="10">
        <v>250</v>
      </c>
      <c r="R65" s="10">
        <v>-250</v>
      </c>
      <c r="S65" s="10">
        <v>-250</v>
      </c>
      <c r="T65" s="10">
        <v>10</v>
      </c>
      <c r="U65" s="10">
        <v>10</v>
      </c>
      <c r="V65" s="10">
        <v>10</v>
      </c>
      <c r="W65" s="10">
        <v>10</v>
      </c>
      <c r="X65" s="18">
        <v>0.5</v>
      </c>
      <c r="Y65" s="18">
        <v>0.1</v>
      </c>
      <c r="Z65" s="18">
        <v>0.5</v>
      </c>
      <c r="AA65" s="18">
        <v>0.1</v>
      </c>
      <c r="AB65" s="10" t="s">
        <v>60</v>
      </c>
      <c r="AC65" s="10">
        <v>100</v>
      </c>
      <c r="AD65" s="10" t="s">
        <v>423</v>
      </c>
      <c r="AE65" s="5"/>
      <c r="AF65" s="6"/>
      <c r="AG65" s="6"/>
      <c r="AH65" s="6"/>
    </row>
    <row r="66" spans="1:34" ht="15.75" customHeight="1" x14ac:dyDescent="0.25">
      <c r="A66" s="9" t="s">
        <v>209</v>
      </c>
      <c r="B66" s="10" t="s">
        <v>210</v>
      </c>
      <c r="C66" s="10" t="s">
        <v>79</v>
      </c>
      <c r="D66" s="10" t="s">
        <v>60</v>
      </c>
      <c r="E66" s="10">
        <v>265</v>
      </c>
      <c r="F66" s="24" t="s">
        <v>348</v>
      </c>
      <c r="G66" s="19" t="s">
        <v>424</v>
      </c>
      <c r="H66" s="10" t="s">
        <v>65</v>
      </c>
      <c r="I66" s="10" t="s">
        <v>70</v>
      </c>
      <c r="J66" s="10" t="s">
        <v>67</v>
      </c>
      <c r="K66" s="17" t="s">
        <v>313</v>
      </c>
      <c r="L66" s="11" t="s">
        <v>304</v>
      </c>
      <c r="M66" s="10">
        <v>2000</v>
      </c>
      <c r="N66" s="25" t="s">
        <v>300</v>
      </c>
      <c r="O66" s="25" t="s">
        <v>302</v>
      </c>
      <c r="P66" s="10" t="s">
        <v>394</v>
      </c>
      <c r="Q66" s="10" t="s">
        <v>394</v>
      </c>
      <c r="R66" s="21" t="s">
        <v>395</v>
      </c>
      <c r="S66" s="21" t="s">
        <v>395</v>
      </c>
      <c r="T66" s="10">
        <v>10</v>
      </c>
      <c r="U66" s="10">
        <v>10</v>
      </c>
      <c r="V66" s="10">
        <v>10</v>
      </c>
      <c r="W66" s="10">
        <v>10</v>
      </c>
      <c r="X66" s="10" t="s">
        <v>396</v>
      </c>
      <c r="Y66" s="18">
        <v>0.1</v>
      </c>
      <c r="Z66" s="10" t="s">
        <v>396</v>
      </c>
      <c r="AA66" s="18">
        <v>0.1</v>
      </c>
      <c r="AB66" s="10" t="s">
        <v>60</v>
      </c>
      <c r="AC66" s="10">
        <v>100</v>
      </c>
      <c r="AD66" s="13" t="s">
        <v>425</v>
      </c>
      <c r="AE66" s="5"/>
      <c r="AF66" s="6"/>
      <c r="AG66" s="6"/>
      <c r="AH66" s="6"/>
    </row>
    <row r="67" spans="1:34" ht="15.75" customHeight="1" x14ac:dyDescent="0.25">
      <c r="A67" s="9" t="s">
        <v>211</v>
      </c>
      <c r="B67" s="10" t="s">
        <v>212</v>
      </c>
      <c r="C67" s="10" t="s">
        <v>136</v>
      </c>
      <c r="D67" s="10" t="s">
        <v>290</v>
      </c>
      <c r="E67" s="10">
        <v>200</v>
      </c>
      <c r="F67" s="11" t="s">
        <v>60</v>
      </c>
      <c r="G67" s="19" t="s">
        <v>407</v>
      </c>
      <c r="H67" s="10" t="s">
        <v>61</v>
      </c>
      <c r="I67" s="10" t="s">
        <v>61</v>
      </c>
      <c r="J67" s="10" t="s">
        <v>61</v>
      </c>
      <c r="K67" s="10" t="s">
        <v>61</v>
      </c>
      <c r="L67" s="11" t="s">
        <v>304</v>
      </c>
      <c r="M67" s="10" t="s">
        <v>61</v>
      </c>
      <c r="N67" s="10">
        <v>50</v>
      </c>
      <c r="O67" s="10">
        <v>100</v>
      </c>
      <c r="P67" s="10">
        <v>250</v>
      </c>
      <c r="Q67" s="10">
        <v>250</v>
      </c>
      <c r="R67" s="10">
        <v>-250</v>
      </c>
      <c r="S67" s="10">
        <v>-250</v>
      </c>
      <c r="T67" s="10">
        <v>10</v>
      </c>
      <c r="U67" s="10">
        <v>10</v>
      </c>
      <c r="V67" s="10">
        <v>10</v>
      </c>
      <c r="W67" s="10">
        <v>10</v>
      </c>
      <c r="X67" s="10" t="s">
        <v>61</v>
      </c>
      <c r="Y67" s="10" t="s">
        <v>61</v>
      </c>
      <c r="Z67" s="10" t="s">
        <v>61</v>
      </c>
      <c r="AA67" s="10" t="s">
        <v>61</v>
      </c>
      <c r="AB67" s="10">
        <v>4</v>
      </c>
      <c r="AC67" s="10">
        <v>200</v>
      </c>
      <c r="AD67" s="10" t="s">
        <v>349</v>
      </c>
      <c r="AE67" s="5"/>
      <c r="AF67" s="6"/>
      <c r="AG67" s="6"/>
      <c r="AH67" s="6"/>
    </row>
    <row r="68" spans="1:34" ht="15.75" customHeight="1" x14ac:dyDescent="0.25">
      <c r="A68" s="9" t="s">
        <v>213</v>
      </c>
      <c r="B68" s="10" t="s">
        <v>214</v>
      </c>
      <c r="C68" s="10" t="s">
        <v>119</v>
      </c>
      <c r="D68" s="10" t="s">
        <v>60</v>
      </c>
      <c r="E68" s="10">
        <v>108</v>
      </c>
      <c r="F68" s="11" t="s">
        <v>60</v>
      </c>
      <c r="G68" s="19" t="s">
        <v>61</v>
      </c>
      <c r="H68" s="10" t="s">
        <v>65</v>
      </c>
      <c r="I68" s="10" t="s">
        <v>61</v>
      </c>
      <c r="J68" s="10" t="s">
        <v>61</v>
      </c>
      <c r="K68" s="10" t="s">
        <v>61</v>
      </c>
      <c r="L68" s="11" t="s">
        <v>304</v>
      </c>
      <c r="M68" s="10">
        <v>2000</v>
      </c>
      <c r="N68" s="10" t="s">
        <v>61</v>
      </c>
      <c r="O68" s="10" t="s">
        <v>61</v>
      </c>
      <c r="P68" s="10" t="s">
        <v>61</v>
      </c>
      <c r="Q68" s="10" t="s">
        <v>61</v>
      </c>
      <c r="R68" s="10" t="s">
        <v>61</v>
      </c>
      <c r="S68" s="10" t="s">
        <v>61</v>
      </c>
      <c r="T68" s="10" t="s">
        <v>61</v>
      </c>
      <c r="U68" s="10" t="s">
        <v>61</v>
      </c>
      <c r="V68" s="10" t="s">
        <v>61</v>
      </c>
      <c r="W68" s="10" t="s">
        <v>61</v>
      </c>
      <c r="X68" s="10" t="s">
        <v>61</v>
      </c>
      <c r="Y68" s="10" t="s">
        <v>61</v>
      </c>
      <c r="Z68" s="10" t="s">
        <v>61</v>
      </c>
      <c r="AA68" s="10" t="s">
        <v>61</v>
      </c>
      <c r="AB68" s="10">
        <v>5</v>
      </c>
      <c r="AC68" s="10">
        <v>100</v>
      </c>
      <c r="AD68" s="10" t="s">
        <v>350</v>
      </c>
      <c r="AE68" s="5"/>
      <c r="AF68" s="6"/>
      <c r="AG68" s="6"/>
      <c r="AH68" s="6"/>
    </row>
    <row r="69" spans="1:34" ht="15.75" customHeight="1" x14ac:dyDescent="0.25">
      <c r="A69" s="9" t="s">
        <v>215</v>
      </c>
      <c r="B69" s="10" t="s">
        <v>216</v>
      </c>
      <c r="C69" s="10" t="s">
        <v>122</v>
      </c>
      <c r="D69" s="10" t="s">
        <v>60</v>
      </c>
      <c r="E69" s="10">
        <v>35</v>
      </c>
      <c r="F69" s="11" t="s">
        <v>60</v>
      </c>
      <c r="G69" s="19" t="s">
        <v>420</v>
      </c>
      <c r="H69" s="10" t="s">
        <v>65</v>
      </c>
      <c r="I69" s="10" t="s">
        <v>70</v>
      </c>
      <c r="J69" s="10" t="s">
        <v>67</v>
      </c>
      <c r="K69" s="17" t="s">
        <v>313</v>
      </c>
      <c r="L69" s="11" t="s">
        <v>295</v>
      </c>
      <c r="M69" s="10">
        <v>2000</v>
      </c>
      <c r="N69" s="25" t="s">
        <v>300</v>
      </c>
      <c r="O69" s="25" t="s">
        <v>302</v>
      </c>
      <c r="P69" s="10">
        <v>250</v>
      </c>
      <c r="Q69" s="10">
        <v>250</v>
      </c>
      <c r="R69" s="10">
        <v>-250</v>
      </c>
      <c r="S69" s="10">
        <v>-250</v>
      </c>
      <c r="T69" s="10">
        <v>10</v>
      </c>
      <c r="U69" s="10">
        <v>10</v>
      </c>
      <c r="V69" s="10">
        <v>10</v>
      </c>
      <c r="W69" s="10">
        <v>10</v>
      </c>
      <c r="X69" s="18">
        <v>0.5</v>
      </c>
      <c r="Y69" s="18">
        <v>0.1</v>
      </c>
      <c r="Z69" s="18">
        <v>0.5</v>
      </c>
      <c r="AA69" s="18">
        <v>0.1</v>
      </c>
      <c r="AB69" s="10">
        <v>5</v>
      </c>
      <c r="AC69" s="10">
        <v>100</v>
      </c>
      <c r="AD69" s="10" t="s">
        <v>426</v>
      </c>
      <c r="AE69" s="5"/>
      <c r="AF69" s="6"/>
      <c r="AG69" s="6"/>
      <c r="AH69" s="6"/>
    </row>
    <row r="70" spans="1:34" ht="15.75" customHeight="1" x14ac:dyDescent="0.25">
      <c r="A70" s="9" t="s">
        <v>217</v>
      </c>
      <c r="B70" s="10" t="s">
        <v>218</v>
      </c>
      <c r="C70" s="10" t="s">
        <v>111</v>
      </c>
      <c r="D70" s="10" t="s">
        <v>60</v>
      </c>
      <c r="E70" s="10">
        <f>45+51</f>
        <v>96</v>
      </c>
      <c r="F70" s="11" t="s">
        <v>60</v>
      </c>
      <c r="G70" s="19" t="s">
        <v>61</v>
      </c>
      <c r="H70" s="10" t="s">
        <v>61</v>
      </c>
      <c r="I70" s="10" t="s">
        <v>70</v>
      </c>
      <c r="J70" s="10" t="s">
        <v>61</v>
      </c>
      <c r="K70" s="10" t="s">
        <v>60</v>
      </c>
      <c r="L70" s="11" t="s">
        <v>294</v>
      </c>
      <c r="M70" s="10">
        <v>2000</v>
      </c>
      <c r="N70" s="10" t="s">
        <v>61</v>
      </c>
      <c r="O70" s="10" t="s">
        <v>61</v>
      </c>
      <c r="P70" s="10" t="s">
        <v>61</v>
      </c>
      <c r="Q70" s="10" t="s">
        <v>61</v>
      </c>
      <c r="R70" s="10" t="s">
        <v>61</v>
      </c>
      <c r="S70" s="10" t="s">
        <v>61</v>
      </c>
      <c r="T70" s="10" t="s">
        <v>61</v>
      </c>
      <c r="U70" s="10" t="s">
        <v>61</v>
      </c>
      <c r="V70" s="10" t="s">
        <v>61</v>
      </c>
      <c r="W70" s="10" t="s">
        <v>61</v>
      </c>
      <c r="X70" s="10" t="s">
        <v>61</v>
      </c>
      <c r="Y70" s="10" t="s">
        <v>61</v>
      </c>
      <c r="Z70" s="10" t="s">
        <v>61</v>
      </c>
      <c r="AA70" s="10" t="s">
        <v>61</v>
      </c>
      <c r="AB70" s="10" t="s">
        <v>60</v>
      </c>
      <c r="AC70" s="10">
        <v>100</v>
      </c>
      <c r="AD70" s="10" t="s">
        <v>408</v>
      </c>
      <c r="AE70" s="5"/>
      <c r="AF70" s="6"/>
      <c r="AG70" s="6"/>
      <c r="AH70" s="6"/>
    </row>
    <row r="71" spans="1:34" ht="15.75" customHeight="1" x14ac:dyDescent="0.25">
      <c r="A71" s="9" t="s">
        <v>219</v>
      </c>
      <c r="B71" s="10" t="s">
        <v>220</v>
      </c>
      <c r="C71" s="10" t="s">
        <v>105</v>
      </c>
      <c r="D71" s="10" t="s">
        <v>60</v>
      </c>
      <c r="E71" s="10">
        <v>17</v>
      </c>
      <c r="F71" s="11" t="s">
        <v>60</v>
      </c>
      <c r="G71" s="19" t="s">
        <v>309</v>
      </c>
      <c r="H71" s="10" t="s">
        <v>65</v>
      </c>
      <c r="I71" s="10" t="s">
        <v>70</v>
      </c>
      <c r="J71" s="10" t="s">
        <v>71</v>
      </c>
      <c r="K71" s="17" t="s">
        <v>313</v>
      </c>
      <c r="L71" s="11" t="s">
        <v>295</v>
      </c>
      <c r="M71" s="10">
        <v>2000</v>
      </c>
      <c r="N71" s="10" t="s">
        <v>353</v>
      </c>
      <c r="O71" s="26" t="s">
        <v>352</v>
      </c>
      <c r="P71" s="10">
        <v>250</v>
      </c>
      <c r="Q71" s="10">
        <v>250</v>
      </c>
      <c r="R71" s="10">
        <v>-250</v>
      </c>
      <c r="S71" s="10">
        <v>-250</v>
      </c>
      <c r="T71" s="10">
        <v>10</v>
      </c>
      <c r="U71" s="10">
        <v>10</v>
      </c>
      <c r="V71" s="10">
        <v>10</v>
      </c>
      <c r="W71" s="10">
        <v>10</v>
      </c>
      <c r="X71" s="18">
        <v>0.5</v>
      </c>
      <c r="Y71" s="18">
        <v>0.5</v>
      </c>
      <c r="Z71" s="18">
        <v>0.5</v>
      </c>
      <c r="AA71" s="18">
        <v>0.5</v>
      </c>
      <c r="AB71" s="10">
        <v>5</v>
      </c>
      <c r="AC71" s="10">
        <v>100</v>
      </c>
      <c r="AD71" s="13" t="s">
        <v>354</v>
      </c>
      <c r="AE71" s="5"/>
      <c r="AF71" s="6"/>
      <c r="AG71" s="6"/>
      <c r="AH71" s="6"/>
    </row>
    <row r="72" spans="1:34" ht="15.75" customHeight="1" x14ac:dyDescent="0.25">
      <c r="A72" s="9" t="s">
        <v>221</v>
      </c>
      <c r="B72" s="10" t="s">
        <v>222</v>
      </c>
      <c r="C72" s="10" t="s">
        <v>111</v>
      </c>
      <c r="D72" s="10" t="s">
        <v>60</v>
      </c>
      <c r="E72" s="10">
        <v>20</v>
      </c>
      <c r="F72" s="11" t="s">
        <v>60</v>
      </c>
      <c r="G72" s="19" t="s">
        <v>356</v>
      </c>
      <c r="H72" s="10" t="s">
        <v>65</v>
      </c>
      <c r="I72" s="10" t="s">
        <v>61</v>
      </c>
      <c r="J72" s="10" t="s">
        <v>61</v>
      </c>
      <c r="K72" s="10" t="s">
        <v>61</v>
      </c>
      <c r="L72" s="13" t="s">
        <v>355</v>
      </c>
      <c r="M72" s="10">
        <v>2000</v>
      </c>
      <c r="N72" s="10">
        <v>50</v>
      </c>
      <c r="O72" s="10">
        <v>100</v>
      </c>
      <c r="P72" s="10">
        <v>250</v>
      </c>
      <c r="Q72" s="10">
        <v>250</v>
      </c>
      <c r="R72" s="10">
        <v>-250</v>
      </c>
      <c r="S72" s="10">
        <v>-250</v>
      </c>
      <c r="T72" s="10" t="s">
        <v>61</v>
      </c>
      <c r="U72" s="10" t="s">
        <v>61</v>
      </c>
      <c r="V72" s="10" t="s">
        <v>61</v>
      </c>
      <c r="W72" s="10" t="s">
        <v>61</v>
      </c>
      <c r="X72" s="10" t="s">
        <v>61</v>
      </c>
      <c r="Y72" s="10" t="s">
        <v>61</v>
      </c>
      <c r="Z72" s="10" t="s">
        <v>61</v>
      </c>
      <c r="AA72" s="10" t="s">
        <v>61</v>
      </c>
      <c r="AB72" s="10" t="s">
        <v>60</v>
      </c>
      <c r="AC72" s="10">
        <v>100</v>
      </c>
      <c r="AD72" s="10" t="s">
        <v>427</v>
      </c>
      <c r="AE72" s="5"/>
      <c r="AF72" s="6"/>
      <c r="AG72" s="6"/>
      <c r="AH72" s="6"/>
    </row>
    <row r="73" spans="1:34" ht="15.75" customHeight="1" x14ac:dyDescent="0.25">
      <c r="A73" s="9" t="s">
        <v>223</v>
      </c>
      <c r="B73" s="10" t="s">
        <v>224</v>
      </c>
      <c r="C73" s="10" t="s">
        <v>108</v>
      </c>
      <c r="D73" s="10" t="s">
        <v>60</v>
      </c>
      <c r="E73" s="10">
        <v>40</v>
      </c>
      <c r="F73" s="11" t="s">
        <v>60</v>
      </c>
      <c r="G73" s="19" t="s">
        <v>357</v>
      </c>
      <c r="H73" s="10" t="s">
        <v>65</v>
      </c>
      <c r="I73" s="10" t="s">
        <v>61</v>
      </c>
      <c r="J73" s="10" t="s">
        <v>61</v>
      </c>
      <c r="K73" s="10" t="s">
        <v>61</v>
      </c>
      <c r="L73" s="11" t="s">
        <v>304</v>
      </c>
      <c r="M73" s="10" t="s">
        <v>61</v>
      </c>
      <c r="N73" s="10">
        <v>50</v>
      </c>
      <c r="O73" s="10">
        <v>100</v>
      </c>
      <c r="P73" s="10">
        <v>250</v>
      </c>
      <c r="Q73" s="10">
        <v>250</v>
      </c>
      <c r="R73" s="10">
        <v>-250</v>
      </c>
      <c r="S73" s="10">
        <v>-250</v>
      </c>
      <c r="T73" s="10">
        <v>10</v>
      </c>
      <c r="U73" s="10">
        <v>10</v>
      </c>
      <c r="V73" s="10">
        <v>10</v>
      </c>
      <c r="W73" s="10">
        <v>10</v>
      </c>
      <c r="X73" s="18">
        <v>0.5</v>
      </c>
      <c r="Y73" s="18">
        <v>0.2</v>
      </c>
      <c r="Z73" s="18">
        <v>0.5</v>
      </c>
      <c r="AA73" s="18">
        <v>0.2</v>
      </c>
      <c r="AB73" s="10" t="s">
        <v>60</v>
      </c>
      <c r="AC73" s="10" t="s">
        <v>61</v>
      </c>
      <c r="AD73" s="10" t="s">
        <v>409</v>
      </c>
      <c r="AE73" s="5"/>
      <c r="AF73" s="6"/>
      <c r="AG73" s="6"/>
      <c r="AH73" s="6"/>
    </row>
    <row r="74" spans="1:34" ht="15.75" customHeight="1" x14ac:dyDescent="0.25">
      <c r="A74" s="9" t="s">
        <v>225</v>
      </c>
      <c r="B74" s="10" t="s">
        <v>226</v>
      </c>
      <c r="C74" s="10" t="s">
        <v>183</v>
      </c>
      <c r="D74" s="10" t="s">
        <v>60</v>
      </c>
      <c r="E74" s="10">
        <v>131</v>
      </c>
      <c r="F74" s="11" t="s">
        <v>60</v>
      </c>
      <c r="G74" s="19" t="s">
        <v>61</v>
      </c>
      <c r="H74" s="10" t="s">
        <v>61</v>
      </c>
      <c r="I74" s="10" t="s">
        <v>61</v>
      </c>
      <c r="J74" s="10" t="s">
        <v>71</v>
      </c>
      <c r="K74" s="17" t="s">
        <v>313</v>
      </c>
      <c r="L74" s="11" t="s">
        <v>304</v>
      </c>
      <c r="M74" s="10">
        <v>2000</v>
      </c>
      <c r="N74" s="10">
        <v>50</v>
      </c>
      <c r="O74" s="10">
        <v>100</v>
      </c>
      <c r="P74" s="10" t="s">
        <v>61</v>
      </c>
      <c r="Q74" s="10" t="s">
        <v>61</v>
      </c>
      <c r="R74" s="10" t="s">
        <v>61</v>
      </c>
      <c r="S74" s="10" t="s">
        <v>61</v>
      </c>
      <c r="T74" s="10" t="s">
        <v>61</v>
      </c>
      <c r="U74" s="10" t="s">
        <v>61</v>
      </c>
      <c r="V74" s="10" t="s">
        <v>61</v>
      </c>
      <c r="W74" s="10" t="s">
        <v>61</v>
      </c>
      <c r="X74" s="18">
        <v>0.5</v>
      </c>
      <c r="Y74" s="18">
        <v>0.1</v>
      </c>
      <c r="Z74" s="18">
        <v>0.5</v>
      </c>
      <c r="AA74" s="18">
        <v>0.1</v>
      </c>
      <c r="AB74" s="10">
        <v>5</v>
      </c>
      <c r="AC74" s="10">
        <v>100</v>
      </c>
      <c r="AD74" s="13" t="s">
        <v>358</v>
      </c>
      <c r="AE74" s="5"/>
      <c r="AF74" s="6"/>
      <c r="AG74" s="6"/>
      <c r="AH74" s="6"/>
    </row>
    <row r="75" spans="1:34" ht="15.75" customHeight="1" x14ac:dyDescent="0.25">
      <c r="A75" s="9" t="s">
        <v>227</v>
      </c>
      <c r="B75" s="10" t="s">
        <v>228</v>
      </c>
      <c r="C75" s="10" t="s">
        <v>136</v>
      </c>
      <c r="D75" s="10" t="s">
        <v>60</v>
      </c>
      <c r="E75" s="10">
        <v>48</v>
      </c>
      <c r="F75" s="11" t="s">
        <v>60</v>
      </c>
      <c r="G75" s="19" t="s">
        <v>61</v>
      </c>
      <c r="H75" s="10" t="s">
        <v>65</v>
      </c>
      <c r="I75" s="10" t="s">
        <v>70</v>
      </c>
      <c r="J75" s="10" t="s">
        <v>61</v>
      </c>
      <c r="K75" s="17" t="s">
        <v>313</v>
      </c>
      <c r="L75" s="11" t="s">
        <v>304</v>
      </c>
      <c r="M75" s="10">
        <v>2000</v>
      </c>
      <c r="N75" s="10" t="s">
        <v>61</v>
      </c>
      <c r="O75" s="10" t="s">
        <v>61</v>
      </c>
      <c r="P75" s="10" t="s">
        <v>61</v>
      </c>
      <c r="Q75" s="10" t="s">
        <v>61</v>
      </c>
      <c r="R75" s="10" t="s">
        <v>61</v>
      </c>
      <c r="S75" s="10" t="s">
        <v>61</v>
      </c>
      <c r="T75" s="10" t="s">
        <v>61</v>
      </c>
      <c r="U75" s="10" t="s">
        <v>61</v>
      </c>
      <c r="V75" s="10" t="s">
        <v>61</v>
      </c>
      <c r="W75" s="10" t="s">
        <v>61</v>
      </c>
      <c r="X75" s="10" t="s">
        <v>61</v>
      </c>
      <c r="Y75" s="10" t="s">
        <v>61</v>
      </c>
      <c r="Z75" s="10" t="s">
        <v>61</v>
      </c>
      <c r="AA75" s="10" t="s">
        <v>61</v>
      </c>
      <c r="AB75" s="10">
        <v>5</v>
      </c>
      <c r="AC75" s="10">
        <v>100</v>
      </c>
      <c r="AD75" s="10" t="s">
        <v>428</v>
      </c>
      <c r="AE75" s="5"/>
      <c r="AF75" s="6"/>
      <c r="AG75" s="6"/>
      <c r="AH75" s="6"/>
    </row>
    <row r="76" spans="1:34" ht="15.75" customHeight="1" x14ac:dyDescent="0.25">
      <c r="A76" s="9" t="s">
        <v>229</v>
      </c>
      <c r="B76" s="10" t="s">
        <v>230</v>
      </c>
      <c r="C76" s="10" t="s">
        <v>82</v>
      </c>
      <c r="D76" s="10" t="s">
        <v>60</v>
      </c>
      <c r="E76" s="10">
        <f>20+18</f>
        <v>38</v>
      </c>
      <c r="F76" s="11" t="s">
        <v>60</v>
      </c>
      <c r="G76" s="19" t="s">
        <v>61</v>
      </c>
      <c r="H76" s="10" t="s">
        <v>65</v>
      </c>
      <c r="I76" s="10" t="s">
        <v>61</v>
      </c>
      <c r="J76" s="10" t="s">
        <v>61</v>
      </c>
      <c r="K76" s="10" t="s">
        <v>61</v>
      </c>
      <c r="L76" s="11" t="s">
        <v>294</v>
      </c>
      <c r="M76" s="10">
        <v>2000</v>
      </c>
      <c r="N76" s="10" t="s">
        <v>61</v>
      </c>
      <c r="O76" s="10" t="s">
        <v>61</v>
      </c>
      <c r="P76" s="10" t="s">
        <v>61</v>
      </c>
      <c r="Q76" s="10" t="s">
        <v>61</v>
      </c>
      <c r="R76" s="10" t="s">
        <v>61</v>
      </c>
      <c r="S76" s="10" t="s">
        <v>61</v>
      </c>
      <c r="T76" s="10" t="s">
        <v>61</v>
      </c>
      <c r="U76" s="10" t="s">
        <v>61</v>
      </c>
      <c r="V76" s="10" t="s">
        <v>61</v>
      </c>
      <c r="W76" s="10" t="s">
        <v>61</v>
      </c>
      <c r="X76" s="10" t="s">
        <v>61</v>
      </c>
      <c r="Y76" s="10" t="s">
        <v>61</v>
      </c>
      <c r="Z76" s="10" t="s">
        <v>61</v>
      </c>
      <c r="AA76" s="10" t="s">
        <v>61</v>
      </c>
      <c r="AB76" s="10" t="s">
        <v>60</v>
      </c>
      <c r="AC76" s="10">
        <v>100</v>
      </c>
      <c r="AD76" s="10" t="s">
        <v>359</v>
      </c>
      <c r="AE76" s="5"/>
      <c r="AF76" s="6"/>
      <c r="AG76" s="6"/>
      <c r="AH76" s="6"/>
    </row>
    <row r="77" spans="1:34" ht="15.75" customHeight="1" x14ac:dyDescent="0.25">
      <c r="A77" s="9" t="s">
        <v>231</v>
      </c>
      <c r="B77" s="10" t="s">
        <v>232</v>
      </c>
      <c r="C77" s="10" t="s">
        <v>122</v>
      </c>
      <c r="D77" s="10" t="s">
        <v>60</v>
      </c>
      <c r="E77" s="10">
        <v>32</v>
      </c>
      <c r="F77" s="11" t="s">
        <v>60</v>
      </c>
      <c r="G77" s="19" t="s">
        <v>61</v>
      </c>
      <c r="H77" s="10" t="s">
        <v>61</v>
      </c>
      <c r="I77" s="10" t="s">
        <v>61</v>
      </c>
      <c r="J77" s="10" t="s">
        <v>61</v>
      </c>
      <c r="K77" s="10" t="s">
        <v>61</v>
      </c>
      <c r="L77" s="10" t="s">
        <v>61</v>
      </c>
      <c r="M77" s="10" t="s">
        <v>61</v>
      </c>
      <c r="N77" s="10" t="s">
        <v>61</v>
      </c>
      <c r="O77" s="10" t="s">
        <v>61</v>
      </c>
      <c r="P77" s="10" t="s">
        <v>61</v>
      </c>
      <c r="Q77" s="10" t="s">
        <v>61</v>
      </c>
      <c r="R77" s="10" t="s">
        <v>61</v>
      </c>
      <c r="S77" s="10" t="s">
        <v>61</v>
      </c>
      <c r="T77" s="10" t="s">
        <v>61</v>
      </c>
      <c r="U77" s="10" t="s">
        <v>61</v>
      </c>
      <c r="V77" s="10" t="s">
        <v>61</v>
      </c>
      <c r="W77" s="10" t="s">
        <v>61</v>
      </c>
      <c r="X77" s="10" t="s">
        <v>61</v>
      </c>
      <c r="Y77" s="10" t="s">
        <v>61</v>
      </c>
      <c r="Z77" s="10" t="s">
        <v>61</v>
      </c>
      <c r="AA77" s="10" t="s">
        <v>61</v>
      </c>
      <c r="AB77" s="10" t="s">
        <v>60</v>
      </c>
      <c r="AC77" s="10" t="s">
        <v>61</v>
      </c>
      <c r="AD77" s="10" t="s">
        <v>439</v>
      </c>
      <c r="AE77" s="5"/>
      <c r="AF77" s="6"/>
      <c r="AG77" s="6"/>
      <c r="AH77" s="6"/>
    </row>
    <row r="78" spans="1:34" ht="15.75" customHeight="1" x14ac:dyDescent="0.25">
      <c r="A78" s="9" t="s">
        <v>233</v>
      </c>
      <c r="B78" s="10" t="s">
        <v>234</v>
      </c>
      <c r="C78" s="10" t="s">
        <v>82</v>
      </c>
      <c r="D78" s="10" t="s">
        <v>60</v>
      </c>
      <c r="E78" s="10">
        <v>108</v>
      </c>
      <c r="F78" s="11" t="s">
        <v>60</v>
      </c>
      <c r="G78" s="19" t="s">
        <v>311</v>
      </c>
      <c r="H78" s="10" t="s">
        <v>65</v>
      </c>
      <c r="I78" s="10" t="s">
        <v>70</v>
      </c>
      <c r="J78" s="10" t="s">
        <v>71</v>
      </c>
      <c r="K78" s="10" t="s">
        <v>61</v>
      </c>
      <c r="L78" s="10" t="s">
        <v>304</v>
      </c>
      <c r="M78" s="10" t="s">
        <v>61</v>
      </c>
      <c r="N78" s="10" t="s">
        <v>392</v>
      </c>
      <c r="O78" s="10" t="s">
        <v>393</v>
      </c>
      <c r="P78" s="10" t="s">
        <v>394</v>
      </c>
      <c r="Q78" s="10" t="s">
        <v>394</v>
      </c>
      <c r="R78" s="21" t="s">
        <v>395</v>
      </c>
      <c r="S78" s="21" t="s">
        <v>395</v>
      </c>
      <c r="T78" s="10">
        <v>10</v>
      </c>
      <c r="U78" s="10">
        <v>10</v>
      </c>
      <c r="V78" s="10">
        <v>10</v>
      </c>
      <c r="W78" s="10">
        <v>10</v>
      </c>
      <c r="X78" s="10" t="s">
        <v>396</v>
      </c>
      <c r="Y78" s="18">
        <v>0.1</v>
      </c>
      <c r="Z78" s="10" t="s">
        <v>396</v>
      </c>
      <c r="AA78" s="18">
        <v>0.1</v>
      </c>
      <c r="AB78" s="10">
        <v>5</v>
      </c>
      <c r="AC78" s="10">
        <v>100</v>
      </c>
      <c r="AD78" s="27" t="s">
        <v>390</v>
      </c>
      <c r="AE78" s="5"/>
      <c r="AF78" s="6"/>
      <c r="AG78" s="6"/>
      <c r="AH78" s="6"/>
    </row>
    <row r="79" spans="1:34" ht="15.75" customHeight="1" x14ac:dyDescent="0.25">
      <c r="A79" s="9" t="s">
        <v>235</v>
      </c>
      <c r="B79" s="10" t="s">
        <v>236</v>
      </c>
      <c r="C79" s="10" t="s">
        <v>136</v>
      </c>
      <c r="D79" s="10" t="s">
        <v>60</v>
      </c>
      <c r="E79" s="10">
        <v>40</v>
      </c>
      <c r="F79" s="11" t="s">
        <v>60</v>
      </c>
      <c r="G79" s="19" t="s">
        <v>429</v>
      </c>
      <c r="H79" s="10" t="s">
        <v>65</v>
      </c>
      <c r="I79" s="10" t="s">
        <v>66</v>
      </c>
      <c r="J79" s="10" t="s">
        <v>67</v>
      </c>
      <c r="K79" s="10" t="s">
        <v>61</v>
      </c>
      <c r="L79" s="11" t="s">
        <v>304</v>
      </c>
      <c r="M79" s="10">
        <v>2000</v>
      </c>
      <c r="N79" s="10">
        <v>50</v>
      </c>
      <c r="O79" s="10">
        <v>100</v>
      </c>
      <c r="P79" s="10">
        <v>250</v>
      </c>
      <c r="Q79" s="10">
        <v>250</v>
      </c>
      <c r="R79" s="10">
        <v>-250</v>
      </c>
      <c r="S79" s="10">
        <v>-250</v>
      </c>
      <c r="T79" s="10">
        <v>10</v>
      </c>
      <c r="U79" s="10">
        <v>10</v>
      </c>
      <c r="V79" s="10">
        <v>10</v>
      </c>
      <c r="W79" s="10">
        <v>10</v>
      </c>
      <c r="X79" s="18">
        <v>0.5</v>
      </c>
      <c r="Y79" s="18">
        <v>0.1</v>
      </c>
      <c r="Z79" s="18">
        <v>0.5</v>
      </c>
      <c r="AA79" s="18">
        <v>0.1</v>
      </c>
      <c r="AB79" s="10">
        <v>5</v>
      </c>
      <c r="AC79" s="10">
        <v>100</v>
      </c>
      <c r="AD79" s="10" t="s">
        <v>430</v>
      </c>
      <c r="AE79" s="5"/>
      <c r="AF79" s="6"/>
      <c r="AG79" s="6"/>
      <c r="AH79" s="6"/>
    </row>
    <row r="80" spans="1:34" ht="15.75" customHeight="1" x14ac:dyDescent="0.25">
      <c r="A80" s="9" t="s">
        <v>237</v>
      </c>
      <c r="B80" s="10" t="s">
        <v>238</v>
      </c>
      <c r="C80" s="10" t="s">
        <v>79</v>
      </c>
      <c r="D80" s="10" t="s">
        <v>60</v>
      </c>
      <c r="E80" s="10">
        <v>100</v>
      </c>
      <c r="F80" s="13" t="s">
        <v>364</v>
      </c>
      <c r="G80" s="19" t="s">
        <v>309</v>
      </c>
      <c r="H80" s="10" t="s">
        <v>65</v>
      </c>
      <c r="I80" s="10" t="s">
        <v>61</v>
      </c>
      <c r="J80" s="10" t="s">
        <v>71</v>
      </c>
      <c r="K80" s="17" t="s">
        <v>317</v>
      </c>
      <c r="L80" s="13" t="s">
        <v>304</v>
      </c>
      <c r="M80" s="10" t="s">
        <v>61</v>
      </c>
      <c r="N80" s="10" t="s">
        <v>360</v>
      </c>
      <c r="O80" s="10" t="s">
        <v>361</v>
      </c>
      <c r="P80" s="10" t="s">
        <v>362</v>
      </c>
      <c r="Q80" s="10" t="s">
        <v>362</v>
      </c>
      <c r="R80" s="21" t="s">
        <v>363</v>
      </c>
      <c r="S80" s="21" t="s">
        <v>363</v>
      </c>
      <c r="T80" s="10">
        <v>10</v>
      </c>
      <c r="U80" s="10">
        <v>10</v>
      </c>
      <c r="V80" s="10">
        <v>10</v>
      </c>
      <c r="W80" s="10">
        <v>10</v>
      </c>
      <c r="X80" s="18">
        <v>0.5</v>
      </c>
      <c r="Y80" s="18">
        <v>0.1</v>
      </c>
      <c r="Z80" s="18">
        <v>0.5</v>
      </c>
      <c r="AA80" s="18">
        <v>0.1</v>
      </c>
      <c r="AB80" s="28">
        <v>6</v>
      </c>
      <c r="AC80" s="10">
        <v>60</v>
      </c>
      <c r="AD80" s="13" t="s">
        <v>367</v>
      </c>
      <c r="AE80" s="5"/>
      <c r="AF80" s="6"/>
      <c r="AG80" s="6"/>
      <c r="AH80" s="6"/>
    </row>
    <row r="81" spans="1:34" ht="15.75" customHeight="1" x14ac:dyDescent="0.25">
      <c r="A81" s="9" t="s">
        <v>237</v>
      </c>
      <c r="B81" s="10" t="s">
        <v>238</v>
      </c>
      <c r="C81" s="10" t="s">
        <v>79</v>
      </c>
      <c r="D81" s="10" t="s">
        <v>60</v>
      </c>
      <c r="E81" s="10">
        <v>100</v>
      </c>
      <c r="F81" s="13" t="s">
        <v>365</v>
      </c>
      <c r="G81" s="19" t="s">
        <v>309</v>
      </c>
      <c r="H81" s="10" t="s">
        <v>65</v>
      </c>
      <c r="I81" s="10" t="s">
        <v>61</v>
      </c>
      <c r="J81" s="10" t="s">
        <v>71</v>
      </c>
      <c r="K81" s="17" t="s">
        <v>317</v>
      </c>
      <c r="L81" s="13" t="s">
        <v>304</v>
      </c>
      <c r="M81" s="10" t="s">
        <v>61</v>
      </c>
      <c r="N81" s="10">
        <v>20</v>
      </c>
      <c r="O81" s="10" t="s">
        <v>366</v>
      </c>
      <c r="P81" s="10">
        <v>100</v>
      </c>
      <c r="Q81" s="10">
        <v>100</v>
      </c>
      <c r="R81" s="21">
        <v>0</v>
      </c>
      <c r="S81" s="21">
        <v>0</v>
      </c>
      <c r="T81" s="10">
        <v>10</v>
      </c>
      <c r="U81" s="10">
        <v>10</v>
      </c>
      <c r="V81" s="10">
        <v>10</v>
      </c>
      <c r="W81" s="10">
        <v>10</v>
      </c>
      <c r="X81" s="18">
        <v>1</v>
      </c>
      <c r="Y81" s="18">
        <v>1</v>
      </c>
      <c r="Z81" s="18">
        <v>0.5</v>
      </c>
      <c r="AA81" s="18">
        <v>0.5</v>
      </c>
      <c r="AB81" s="28">
        <v>6</v>
      </c>
      <c r="AC81" s="10">
        <v>60</v>
      </c>
      <c r="AD81" s="13" t="s">
        <v>368</v>
      </c>
      <c r="AE81" s="5"/>
      <c r="AF81" s="6"/>
      <c r="AG81" s="6"/>
      <c r="AH81" s="6"/>
    </row>
    <row r="82" spans="1:34" ht="15.75" customHeight="1" x14ac:dyDescent="0.25">
      <c r="A82" s="9" t="s">
        <v>239</v>
      </c>
      <c r="B82" s="10" t="s">
        <v>240</v>
      </c>
      <c r="C82" s="10" t="s">
        <v>183</v>
      </c>
      <c r="D82" s="10" t="s">
        <v>60</v>
      </c>
      <c r="E82" s="10">
        <v>199</v>
      </c>
      <c r="F82" s="11" t="s">
        <v>60</v>
      </c>
      <c r="G82" s="19" t="s">
        <v>61</v>
      </c>
      <c r="H82" s="10" t="s">
        <v>65</v>
      </c>
      <c r="I82" s="10" t="s">
        <v>61</v>
      </c>
      <c r="J82" s="10" t="s">
        <v>61</v>
      </c>
      <c r="K82" s="10" t="s">
        <v>61</v>
      </c>
      <c r="L82" s="11" t="s">
        <v>304</v>
      </c>
      <c r="M82" s="10">
        <v>2000</v>
      </c>
      <c r="N82" s="10" t="s">
        <v>61</v>
      </c>
      <c r="O82" s="10" t="s">
        <v>61</v>
      </c>
      <c r="P82" s="10" t="s">
        <v>61</v>
      </c>
      <c r="Q82" s="10" t="s">
        <v>61</v>
      </c>
      <c r="R82" s="10" t="s">
        <v>61</v>
      </c>
      <c r="S82" s="10" t="s">
        <v>61</v>
      </c>
      <c r="T82" s="10" t="s">
        <v>61</v>
      </c>
      <c r="U82" s="10" t="s">
        <v>61</v>
      </c>
      <c r="V82" s="10" t="s">
        <v>61</v>
      </c>
      <c r="W82" s="10" t="s">
        <v>61</v>
      </c>
      <c r="X82" s="10" t="s">
        <v>61</v>
      </c>
      <c r="Y82" s="10" t="s">
        <v>61</v>
      </c>
      <c r="Z82" s="10" t="s">
        <v>61</v>
      </c>
      <c r="AA82" s="10" t="s">
        <v>61</v>
      </c>
      <c r="AB82" s="10">
        <v>5</v>
      </c>
      <c r="AC82" s="10">
        <v>100</v>
      </c>
      <c r="AD82" s="10" t="s">
        <v>369</v>
      </c>
      <c r="AE82" s="5"/>
      <c r="AF82" s="6"/>
      <c r="AG82" s="6"/>
      <c r="AH82" s="6"/>
    </row>
    <row r="83" spans="1:34" ht="15.75" customHeight="1" x14ac:dyDescent="0.25">
      <c r="A83" s="9" t="s">
        <v>241</v>
      </c>
      <c r="B83" s="10" t="s">
        <v>242</v>
      </c>
      <c r="C83" s="10" t="s">
        <v>125</v>
      </c>
      <c r="D83" s="10" t="s">
        <v>60</v>
      </c>
      <c r="E83" s="10">
        <v>15</v>
      </c>
      <c r="F83" s="11" t="s">
        <v>60</v>
      </c>
      <c r="G83" s="19" t="s">
        <v>370</v>
      </c>
      <c r="H83" s="10" t="s">
        <v>61</v>
      </c>
      <c r="I83" s="10" t="s">
        <v>61</v>
      </c>
      <c r="J83" s="10" t="s">
        <v>71</v>
      </c>
      <c r="K83" s="10" t="s">
        <v>61</v>
      </c>
      <c r="L83" s="10" t="s">
        <v>63</v>
      </c>
      <c r="M83" s="10" t="s">
        <v>61</v>
      </c>
      <c r="N83" s="10">
        <v>100</v>
      </c>
      <c r="O83" s="10">
        <v>200</v>
      </c>
      <c r="P83" s="10">
        <v>1600</v>
      </c>
      <c r="Q83" s="10">
        <v>1600</v>
      </c>
      <c r="R83" s="10">
        <v>-1600</v>
      </c>
      <c r="S83" s="10">
        <v>-1600</v>
      </c>
      <c r="T83" s="10" t="s">
        <v>61</v>
      </c>
      <c r="U83" s="10" t="s">
        <v>61</v>
      </c>
      <c r="V83" s="10" t="s">
        <v>61</v>
      </c>
      <c r="W83" s="10" t="s">
        <v>61</v>
      </c>
      <c r="X83" s="10" t="s">
        <v>61</v>
      </c>
      <c r="Y83" s="10" t="s">
        <v>61</v>
      </c>
      <c r="Z83" s="10" t="s">
        <v>61</v>
      </c>
      <c r="AA83" s="10" t="s">
        <v>61</v>
      </c>
      <c r="AB83" s="10">
        <v>4</v>
      </c>
      <c r="AC83" s="10">
        <v>100</v>
      </c>
      <c r="AD83" s="10" t="s">
        <v>410</v>
      </c>
      <c r="AE83" s="5"/>
      <c r="AF83" s="6"/>
      <c r="AG83" s="6"/>
      <c r="AH83" s="6"/>
    </row>
    <row r="84" spans="1:34" ht="15.75" customHeight="1" x14ac:dyDescent="0.25">
      <c r="A84" s="9" t="s">
        <v>243</v>
      </c>
      <c r="B84" s="10" t="s">
        <v>244</v>
      </c>
      <c r="C84" s="10" t="s">
        <v>154</v>
      </c>
      <c r="D84" s="10" t="s">
        <v>60</v>
      </c>
      <c r="E84" s="10">
        <v>482</v>
      </c>
      <c r="F84" s="11" t="s">
        <v>60</v>
      </c>
      <c r="G84" s="19" t="s">
        <v>61</v>
      </c>
      <c r="H84" s="10" t="s">
        <v>65</v>
      </c>
      <c r="I84" s="10" t="s">
        <v>61</v>
      </c>
      <c r="J84" s="10" t="s">
        <v>61</v>
      </c>
      <c r="K84" s="10" t="s">
        <v>61</v>
      </c>
      <c r="L84" s="13" t="s">
        <v>61</v>
      </c>
      <c r="M84" s="10" t="s">
        <v>61</v>
      </c>
      <c r="N84" s="10" t="s">
        <v>61</v>
      </c>
      <c r="O84" s="10" t="s">
        <v>61</v>
      </c>
      <c r="P84" s="10" t="s">
        <v>61</v>
      </c>
      <c r="Q84" s="10" t="s">
        <v>61</v>
      </c>
      <c r="R84" s="10" t="s">
        <v>61</v>
      </c>
      <c r="S84" s="10" t="s">
        <v>61</v>
      </c>
      <c r="T84" s="10" t="s">
        <v>61</v>
      </c>
      <c r="U84" s="10" t="s">
        <v>61</v>
      </c>
      <c r="V84" s="10" t="s">
        <v>61</v>
      </c>
      <c r="W84" s="10" t="s">
        <v>61</v>
      </c>
      <c r="X84" s="10" t="s">
        <v>61</v>
      </c>
      <c r="Y84" s="10" t="s">
        <v>61</v>
      </c>
      <c r="Z84" s="10" t="s">
        <v>61</v>
      </c>
      <c r="AA84" s="10" t="s">
        <v>61</v>
      </c>
      <c r="AB84" s="10" t="s">
        <v>60</v>
      </c>
      <c r="AC84" s="10">
        <v>100</v>
      </c>
      <c r="AD84" s="10" t="s">
        <v>371</v>
      </c>
      <c r="AE84" s="5"/>
      <c r="AF84" s="6"/>
      <c r="AG84" s="6"/>
      <c r="AH84" s="6"/>
    </row>
    <row r="85" spans="1:34" ht="15.75" customHeight="1" x14ac:dyDescent="0.25">
      <c r="A85" s="9" t="s">
        <v>245</v>
      </c>
      <c r="B85" s="10" t="s">
        <v>246</v>
      </c>
      <c r="C85" s="10" t="s">
        <v>122</v>
      </c>
      <c r="D85" s="10" t="s">
        <v>60</v>
      </c>
      <c r="E85" s="10">
        <v>70</v>
      </c>
      <c r="F85" s="11" t="s">
        <v>60</v>
      </c>
      <c r="G85" s="19" t="s">
        <v>61</v>
      </c>
      <c r="H85" s="10" t="s">
        <v>65</v>
      </c>
      <c r="I85" s="10" t="s">
        <v>61</v>
      </c>
      <c r="J85" s="10" t="s">
        <v>61</v>
      </c>
      <c r="K85" s="10" t="s">
        <v>61</v>
      </c>
      <c r="L85" s="13" t="s">
        <v>61</v>
      </c>
      <c r="M85" s="10" t="s">
        <v>61</v>
      </c>
      <c r="N85" s="10" t="s">
        <v>61</v>
      </c>
      <c r="O85" s="10" t="s">
        <v>61</v>
      </c>
      <c r="P85" s="10" t="s">
        <v>61</v>
      </c>
      <c r="Q85" s="10" t="s">
        <v>61</v>
      </c>
      <c r="R85" s="10" t="s">
        <v>61</v>
      </c>
      <c r="S85" s="10" t="s">
        <v>61</v>
      </c>
      <c r="T85" s="10" t="s">
        <v>61</v>
      </c>
      <c r="U85" s="10" t="s">
        <v>61</v>
      </c>
      <c r="V85" s="10" t="s">
        <v>61</v>
      </c>
      <c r="W85" s="10" t="s">
        <v>61</v>
      </c>
      <c r="X85" s="10" t="s">
        <v>61</v>
      </c>
      <c r="Y85" s="10" t="s">
        <v>61</v>
      </c>
      <c r="Z85" s="10" t="s">
        <v>61</v>
      </c>
      <c r="AA85" s="10" t="s">
        <v>61</v>
      </c>
      <c r="AB85" s="10">
        <v>5</v>
      </c>
      <c r="AC85" s="10">
        <v>100</v>
      </c>
      <c r="AD85" s="10" t="s">
        <v>385</v>
      </c>
      <c r="AE85" s="5"/>
      <c r="AF85" s="6"/>
      <c r="AG85" s="6"/>
      <c r="AH85" s="6"/>
    </row>
    <row r="86" spans="1:34" ht="15.75" customHeight="1" x14ac:dyDescent="0.25">
      <c r="A86" s="9" t="s">
        <v>247</v>
      </c>
      <c r="B86" s="10" t="s">
        <v>248</v>
      </c>
      <c r="C86" s="10" t="s">
        <v>108</v>
      </c>
      <c r="D86" s="10" t="s">
        <v>60</v>
      </c>
      <c r="E86" s="10">
        <v>33</v>
      </c>
      <c r="F86" s="11" t="s">
        <v>60</v>
      </c>
      <c r="G86" s="19" t="s">
        <v>309</v>
      </c>
      <c r="H86" s="10" t="s">
        <v>65</v>
      </c>
      <c r="I86" s="10" t="s">
        <v>61</v>
      </c>
      <c r="J86" s="10" t="s">
        <v>61</v>
      </c>
      <c r="K86" s="10" t="s">
        <v>61</v>
      </c>
      <c r="L86" s="10" t="s">
        <v>63</v>
      </c>
      <c r="M86" s="10">
        <v>2000</v>
      </c>
      <c r="N86" s="10">
        <v>50</v>
      </c>
      <c r="O86" s="10">
        <v>100</v>
      </c>
      <c r="P86" s="10">
        <v>250</v>
      </c>
      <c r="Q86" s="10">
        <v>250</v>
      </c>
      <c r="R86" s="10">
        <v>-250</v>
      </c>
      <c r="S86" s="10">
        <v>-250</v>
      </c>
      <c r="T86" s="10">
        <v>10</v>
      </c>
      <c r="U86" s="10">
        <v>10</v>
      </c>
      <c r="V86" s="10">
        <v>10</v>
      </c>
      <c r="W86" s="10">
        <v>10</v>
      </c>
      <c r="X86" s="18">
        <v>0.5</v>
      </c>
      <c r="Y86" s="18">
        <v>0.1</v>
      </c>
      <c r="Z86" s="18">
        <v>0.5</v>
      </c>
      <c r="AA86" s="18">
        <v>0.1</v>
      </c>
      <c r="AB86" s="10">
        <v>10</v>
      </c>
      <c r="AC86" s="28">
        <v>400</v>
      </c>
      <c r="AD86" s="13" t="s">
        <v>303</v>
      </c>
      <c r="AE86" s="5"/>
      <c r="AF86" s="6"/>
      <c r="AG86" s="6"/>
      <c r="AH86" s="6"/>
    </row>
    <row r="87" spans="1:34" ht="15.75" customHeight="1" x14ac:dyDescent="0.25">
      <c r="A87" s="9" t="s">
        <v>249</v>
      </c>
      <c r="B87" s="10" t="s">
        <v>250</v>
      </c>
      <c r="C87" s="10" t="s">
        <v>73</v>
      </c>
      <c r="D87" s="10" t="s">
        <v>60</v>
      </c>
      <c r="E87" s="10">
        <f>30+30</f>
        <v>60</v>
      </c>
      <c r="F87" s="11" t="s">
        <v>60</v>
      </c>
      <c r="G87" s="19" t="s">
        <v>61</v>
      </c>
      <c r="H87" s="10" t="s">
        <v>61</v>
      </c>
      <c r="I87" s="10" t="s">
        <v>61</v>
      </c>
      <c r="J87" s="10" t="s">
        <v>61</v>
      </c>
      <c r="K87" s="10" t="s">
        <v>61</v>
      </c>
      <c r="L87" s="10" t="s">
        <v>61</v>
      </c>
      <c r="M87" s="10" t="s">
        <v>61</v>
      </c>
      <c r="N87" s="10" t="s">
        <v>61</v>
      </c>
      <c r="O87" s="10" t="s">
        <v>61</v>
      </c>
      <c r="P87" s="10" t="s">
        <v>61</v>
      </c>
      <c r="Q87" s="10" t="s">
        <v>61</v>
      </c>
      <c r="R87" s="10" t="s">
        <v>61</v>
      </c>
      <c r="S87" s="10" t="s">
        <v>61</v>
      </c>
      <c r="T87" s="10" t="s">
        <v>61</v>
      </c>
      <c r="U87" s="10" t="s">
        <v>61</v>
      </c>
      <c r="V87" s="10" t="s">
        <v>61</v>
      </c>
      <c r="W87" s="10" t="s">
        <v>61</v>
      </c>
      <c r="X87" s="10" t="s">
        <v>61</v>
      </c>
      <c r="Y87" s="10" t="s">
        <v>61</v>
      </c>
      <c r="Z87" s="10" t="s">
        <v>61</v>
      </c>
      <c r="AA87" s="10" t="s">
        <v>61</v>
      </c>
      <c r="AB87" s="10" t="s">
        <v>60</v>
      </c>
      <c r="AC87" s="10">
        <v>100</v>
      </c>
      <c r="AD87" s="10" t="s">
        <v>372</v>
      </c>
      <c r="AE87" s="5"/>
      <c r="AF87" s="6"/>
      <c r="AG87" s="6"/>
      <c r="AH87" s="6"/>
    </row>
    <row r="88" spans="1:34" ht="15.75" customHeight="1" x14ac:dyDescent="0.25">
      <c r="A88" s="9" t="s">
        <v>251</v>
      </c>
      <c r="B88" s="10" t="s">
        <v>252</v>
      </c>
      <c r="C88" s="10" t="s">
        <v>76</v>
      </c>
      <c r="D88" s="10" t="s">
        <v>60</v>
      </c>
      <c r="E88" s="10">
        <f>44+34</f>
        <v>78</v>
      </c>
      <c r="F88" s="11" t="s">
        <v>60</v>
      </c>
      <c r="G88" s="19" t="s">
        <v>309</v>
      </c>
      <c r="H88" s="10" t="s">
        <v>65</v>
      </c>
      <c r="I88" s="10" t="s">
        <v>61</v>
      </c>
      <c r="J88" s="10" t="s">
        <v>61</v>
      </c>
      <c r="K88" s="10" t="s">
        <v>61</v>
      </c>
      <c r="L88" s="11" t="s">
        <v>304</v>
      </c>
      <c r="M88" s="10">
        <v>20</v>
      </c>
      <c r="N88" s="10">
        <v>0.5</v>
      </c>
      <c r="O88" s="10">
        <v>1</v>
      </c>
      <c r="P88" s="10">
        <v>2.5</v>
      </c>
      <c r="Q88" s="10">
        <v>2.5</v>
      </c>
      <c r="R88" s="10">
        <v>-2.5</v>
      </c>
      <c r="S88" s="10">
        <v>-2.5</v>
      </c>
      <c r="T88" s="10">
        <v>10</v>
      </c>
      <c r="U88" s="10">
        <v>10</v>
      </c>
      <c r="V88" s="10">
        <v>10</v>
      </c>
      <c r="W88" s="10">
        <v>10</v>
      </c>
      <c r="X88" s="18">
        <v>0.5</v>
      </c>
      <c r="Y88" s="18">
        <v>0.1</v>
      </c>
      <c r="Z88" s="18">
        <v>0.5</v>
      </c>
      <c r="AA88" s="18">
        <v>0.1</v>
      </c>
      <c r="AB88" s="10">
        <v>10</v>
      </c>
      <c r="AC88" s="10">
        <v>100</v>
      </c>
      <c r="AD88" s="10" t="s">
        <v>386</v>
      </c>
      <c r="AE88" s="5"/>
      <c r="AF88" s="6"/>
      <c r="AG88" s="6"/>
      <c r="AH88" s="6"/>
    </row>
    <row r="89" spans="1:34" ht="15.75" customHeight="1" x14ac:dyDescent="0.25">
      <c r="A89" s="9" t="s">
        <v>253</v>
      </c>
      <c r="B89" s="10" t="s">
        <v>254</v>
      </c>
      <c r="C89" s="10" t="s">
        <v>96</v>
      </c>
      <c r="D89" s="10" t="s">
        <v>60</v>
      </c>
      <c r="E89" s="10">
        <f>91+98</f>
        <v>189</v>
      </c>
      <c r="F89" s="11" t="s">
        <v>60</v>
      </c>
      <c r="G89" s="19" t="s">
        <v>61</v>
      </c>
      <c r="H89" s="10" t="s">
        <v>65</v>
      </c>
      <c r="I89" s="10" t="s">
        <v>61</v>
      </c>
      <c r="J89" s="10" t="s">
        <v>61</v>
      </c>
      <c r="K89" s="10" t="s">
        <v>61</v>
      </c>
      <c r="L89" s="13" t="s">
        <v>61</v>
      </c>
      <c r="M89" s="10" t="s">
        <v>61</v>
      </c>
      <c r="N89" s="10" t="s">
        <v>61</v>
      </c>
      <c r="O89" s="10" t="s">
        <v>61</v>
      </c>
      <c r="P89" s="10" t="s">
        <v>61</v>
      </c>
      <c r="Q89" s="10" t="s">
        <v>61</v>
      </c>
      <c r="R89" s="10" t="s">
        <v>61</v>
      </c>
      <c r="S89" s="10" t="s">
        <v>61</v>
      </c>
      <c r="T89" s="10" t="s">
        <v>61</v>
      </c>
      <c r="U89" s="10" t="s">
        <v>61</v>
      </c>
      <c r="V89" s="10" t="s">
        <v>61</v>
      </c>
      <c r="W89" s="10" t="s">
        <v>61</v>
      </c>
      <c r="X89" s="10" t="s">
        <v>61</v>
      </c>
      <c r="Y89" s="10" t="s">
        <v>61</v>
      </c>
      <c r="Z89" s="10" t="s">
        <v>61</v>
      </c>
      <c r="AA89" s="10" t="s">
        <v>61</v>
      </c>
      <c r="AB89" s="10" t="s">
        <v>60</v>
      </c>
      <c r="AC89" s="10">
        <v>100</v>
      </c>
      <c r="AD89" s="10" t="s">
        <v>431</v>
      </c>
      <c r="AE89" s="5"/>
      <c r="AF89" s="6"/>
      <c r="AG89" s="6"/>
      <c r="AH89" s="6"/>
    </row>
    <row r="90" spans="1:34" ht="15.75" customHeight="1" x14ac:dyDescent="0.25">
      <c r="A90" s="9" t="s">
        <v>255</v>
      </c>
      <c r="B90" s="10" t="s">
        <v>256</v>
      </c>
      <c r="C90" s="10" t="s">
        <v>154</v>
      </c>
      <c r="D90" s="10" t="s">
        <v>60</v>
      </c>
      <c r="E90" s="10">
        <f>10+35+14</f>
        <v>59</v>
      </c>
      <c r="F90" s="11" t="s">
        <v>60</v>
      </c>
      <c r="G90" s="19" t="s">
        <v>61</v>
      </c>
      <c r="H90" s="10" t="s">
        <v>61</v>
      </c>
      <c r="I90" s="10" t="s">
        <v>61</v>
      </c>
      <c r="J90" s="10" t="s">
        <v>61</v>
      </c>
      <c r="K90" s="10" t="s">
        <v>61</v>
      </c>
      <c r="L90" s="13" t="s">
        <v>304</v>
      </c>
      <c r="M90" s="10">
        <v>2000</v>
      </c>
      <c r="N90" s="10" t="s">
        <v>61</v>
      </c>
      <c r="O90" s="10" t="s">
        <v>61</v>
      </c>
      <c r="P90" s="10" t="s">
        <v>61</v>
      </c>
      <c r="Q90" s="10" t="s">
        <v>61</v>
      </c>
      <c r="R90" s="10" t="s">
        <v>61</v>
      </c>
      <c r="S90" s="10" t="s">
        <v>61</v>
      </c>
      <c r="T90" s="10" t="s">
        <v>61</v>
      </c>
      <c r="U90" s="10" t="s">
        <v>61</v>
      </c>
      <c r="V90" s="10" t="s">
        <v>61</v>
      </c>
      <c r="W90" s="10" t="s">
        <v>61</v>
      </c>
      <c r="X90" s="10" t="s">
        <v>61</v>
      </c>
      <c r="Y90" s="10" t="s">
        <v>61</v>
      </c>
      <c r="Z90" s="10" t="s">
        <v>61</v>
      </c>
      <c r="AA90" s="10" t="s">
        <v>61</v>
      </c>
      <c r="AB90" s="10">
        <v>5</v>
      </c>
      <c r="AC90" s="10">
        <v>100</v>
      </c>
      <c r="AD90" s="10" t="s">
        <v>373</v>
      </c>
      <c r="AE90" s="5"/>
      <c r="AF90" s="6"/>
      <c r="AG90" s="6"/>
      <c r="AH90" s="6"/>
    </row>
    <row r="91" spans="1:34" ht="15.75" customHeight="1" x14ac:dyDescent="0.25">
      <c r="A91" s="9" t="s">
        <v>257</v>
      </c>
      <c r="B91" s="10" t="s">
        <v>258</v>
      </c>
      <c r="C91" s="10" t="s">
        <v>105</v>
      </c>
      <c r="D91" s="10" t="s">
        <v>60</v>
      </c>
      <c r="E91" s="10">
        <f>13+13</f>
        <v>26</v>
      </c>
      <c r="F91" s="11" t="s">
        <v>60</v>
      </c>
      <c r="G91" s="19" t="s">
        <v>61</v>
      </c>
      <c r="H91" s="10" t="s">
        <v>61</v>
      </c>
      <c r="I91" s="10" t="s">
        <v>61</v>
      </c>
      <c r="J91" s="10" t="s">
        <v>61</v>
      </c>
      <c r="K91" s="10" t="s">
        <v>61</v>
      </c>
      <c r="L91" s="10" t="s">
        <v>61</v>
      </c>
      <c r="M91" s="10" t="s">
        <v>61</v>
      </c>
      <c r="N91" s="10" t="s">
        <v>61</v>
      </c>
      <c r="O91" s="10" t="s">
        <v>61</v>
      </c>
      <c r="P91" s="10" t="s">
        <v>61</v>
      </c>
      <c r="Q91" s="10" t="s">
        <v>61</v>
      </c>
      <c r="R91" s="10" t="s">
        <v>61</v>
      </c>
      <c r="S91" s="10" t="s">
        <v>61</v>
      </c>
      <c r="T91" s="10" t="s">
        <v>61</v>
      </c>
      <c r="U91" s="10" t="s">
        <v>61</v>
      </c>
      <c r="V91" s="10" t="s">
        <v>61</v>
      </c>
      <c r="W91" s="10" t="s">
        <v>61</v>
      </c>
      <c r="X91" s="10" t="s">
        <v>61</v>
      </c>
      <c r="Y91" s="10" t="s">
        <v>61</v>
      </c>
      <c r="Z91" s="10" t="s">
        <v>61</v>
      </c>
      <c r="AA91" s="10" t="s">
        <v>61</v>
      </c>
      <c r="AB91" s="10">
        <v>5</v>
      </c>
      <c r="AC91" s="10">
        <v>100</v>
      </c>
      <c r="AD91" s="10" t="s">
        <v>374</v>
      </c>
      <c r="AE91" s="5"/>
      <c r="AF91" s="6"/>
      <c r="AG91" s="6"/>
      <c r="AH91" s="6"/>
    </row>
    <row r="92" spans="1:34" ht="15.75" customHeight="1" x14ac:dyDescent="0.25">
      <c r="A92" s="9" t="s">
        <v>259</v>
      </c>
      <c r="B92" s="10" t="s">
        <v>260</v>
      </c>
      <c r="C92" s="10" t="s">
        <v>96</v>
      </c>
      <c r="D92" s="10" t="s">
        <v>60</v>
      </c>
      <c r="E92" s="10">
        <v>79</v>
      </c>
      <c r="F92" s="11" t="s">
        <v>60</v>
      </c>
      <c r="G92" s="19" t="s">
        <v>61</v>
      </c>
      <c r="H92" s="10" t="s">
        <v>65</v>
      </c>
      <c r="I92" s="10" t="s">
        <v>61</v>
      </c>
      <c r="J92" s="10" t="s">
        <v>61</v>
      </c>
      <c r="K92" s="17" t="s">
        <v>317</v>
      </c>
      <c r="L92" s="27" t="s">
        <v>61</v>
      </c>
      <c r="M92" s="10" t="s">
        <v>61</v>
      </c>
      <c r="N92" s="10" t="s">
        <v>61</v>
      </c>
      <c r="O92" s="10" t="s">
        <v>61</v>
      </c>
      <c r="P92" s="10" t="s">
        <v>61</v>
      </c>
      <c r="Q92" s="10" t="s">
        <v>61</v>
      </c>
      <c r="R92" s="10" t="s">
        <v>61</v>
      </c>
      <c r="S92" s="10" t="s">
        <v>61</v>
      </c>
      <c r="T92" s="10" t="s">
        <v>61</v>
      </c>
      <c r="U92" s="10" t="s">
        <v>61</v>
      </c>
      <c r="V92" s="10" t="s">
        <v>61</v>
      </c>
      <c r="W92" s="10" t="s">
        <v>61</v>
      </c>
      <c r="X92" s="10" t="s">
        <v>61</v>
      </c>
      <c r="Y92" s="10" t="s">
        <v>61</v>
      </c>
      <c r="Z92" s="10" t="s">
        <v>61</v>
      </c>
      <c r="AA92" s="10" t="s">
        <v>61</v>
      </c>
      <c r="AB92" s="10">
        <v>5</v>
      </c>
      <c r="AC92" s="10">
        <v>100</v>
      </c>
      <c r="AD92" s="10" t="s">
        <v>375</v>
      </c>
      <c r="AE92" s="5"/>
      <c r="AF92" s="6"/>
      <c r="AG92" s="6"/>
      <c r="AH92" s="6"/>
    </row>
    <row r="93" spans="1:34" ht="15.75" customHeight="1" x14ac:dyDescent="0.25">
      <c r="A93" s="9" t="s">
        <v>261</v>
      </c>
      <c r="B93" s="10" t="s">
        <v>262</v>
      </c>
      <c r="C93" s="10" t="s">
        <v>88</v>
      </c>
      <c r="D93" s="10" t="s">
        <v>60</v>
      </c>
      <c r="E93" s="10">
        <f>26+28+11</f>
        <v>65</v>
      </c>
      <c r="F93" s="11" t="s">
        <v>60</v>
      </c>
      <c r="G93" s="19" t="s">
        <v>61</v>
      </c>
      <c r="H93" s="10" t="s">
        <v>61</v>
      </c>
      <c r="I93" s="10" t="s">
        <v>61</v>
      </c>
      <c r="J93" s="10" t="s">
        <v>61</v>
      </c>
      <c r="K93" s="10" t="s">
        <v>61</v>
      </c>
      <c r="L93" s="10" t="s">
        <v>61</v>
      </c>
      <c r="M93" s="10" t="s">
        <v>61</v>
      </c>
      <c r="N93" s="10" t="s">
        <v>61</v>
      </c>
      <c r="O93" s="10" t="s">
        <v>61</v>
      </c>
      <c r="P93" s="10" t="s">
        <v>61</v>
      </c>
      <c r="Q93" s="10" t="s">
        <v>61</v>
      </c>
      <c r="R93" s="10" t="s">
        <v>61</v>
      </c>
      <c r="S93" s="10" t="s">
        <v>61</v>
      </c>
      <c r="T93" s="10" t="s">
        <v>61</v>
      </c>
      <c r="U93" s="10" t="s">
        <v>61</v>
      </c>
      <c r="V93" s="10" t="s">
        <v>61</v>
      </c>
      <c r="W93" s="10" t="s">
        <v>61</v>
      </c>
      <c r="X93" s="10" t="s">
        <v>61</v>
      </c>
      <c r="Y93" s="10" t="s">
        <v>61</v>
      </c>
      <c r="Z93" s="10" t="s">
        <v>61</v>
      </c>
      <c r="AA93" s="10" t="s">
        <v>61</v>
      </c>
      <c r="AB93" s="10" t="s">
        <v>60</v>
      </c>
      <c r="AC93" s="10">
        <v>100</v>
      </c>
      <c r="AD93" s="10" t="s">
        <v>376</v>
      </c>
      <c r="AE93" s="5"/>
      <c r="AF93" s="6"/>
      <c r="AG93" s="6"/>
      <c r="AH93" s="6"/>
    </row>
    <row r="94" spans="1:34" ht="15.75" customHeight="1" x14ac:dyDescent="0.25">
      <c r="A94" s="9" t="s">
        <v>263</v>
      </c>
      <c r="B94" s="10" t="s">
        <v>264</v>
      </c>
      <c r="C94" s="10" t="s">
        <v>93</v>
      </c>
      <c r="D94" s="10" t="s">
        <v>60</v>
      </c>
      <c r="E94" s="10">
        <f>21+58</f>
        <v>79</v>
      </c>
      <c r="F94" s="11" t="s">
        <v>60</v>
      </c>
      <c r="G94" s="19" t="s">
        <v>434</v>
      </c>
      <c r="H94" s="10" t="s">
        <v>65</v>
      </c>
      <c r="I94" s="10" t="s">
        <v>66</v>
      </c>
      <c r="J94" s="10" t="s">
        <v>67</v>
      </c>
      <c r="K94" s="10" t="s">
        <v>61</v>
      </c>
      <c r="L94" s="27" t="s">
        <v>304</v>
      </c>
      <c r="M94" s="10">
        <v>2000</v>
      </c>
      <c r="N94" s="10">
        <v>50</v>
      </c>
      <c r="O94" s="10">
        <v>100</v>
      </c>
      <c r="P94" s="10">
        <v>250</v>
      </c>
      <c r="Q94" s="10">
        <v>250</v>
      </c>
      <c r="R94" s="10">
        <v>-250</v>
      </c>
      <c r="S94" s="10">
        <v>-250</v>
      </c>
      <c r="T94" s="10">
        <v>10</v>
      </c>
      <c r="U94" s="10">
        <v>10</v>
      </c>
      <c r="V94" s="10">
        <v>10</v>
      </c>
      <c r="W94" s="10">
        <v>10</v>
      </c>
      <c r="X94" s="18">
        <v>0.5</v>
      </c>
      <c r="Y94" s="18">
        <v>0.1</v>
      </c>
      <c r="Z94" s="18">
        <v>0.5</v>
      </c>
      <c r="AA94" s="18">
        <v>0.1</v>
      </c>
      <c r="AB94" s="10">
        <v>5</v>
      </c>
      <c r="AC94" s="10">
        <v>100</v>
      </c>
      <c r="AD94" s="10" t="s">
        <v>437</v>
      </c>
      <c r="AE94" s="5"/>
      <c r="AF94" s="6"/>
      <c r="AG94" s="6"/>
      <c r="AH94" s="6"/>
    </row>
    <row r="95" spans="1:34" ht="15.75" customHeight="1" x14ac:dyDescent="0.25">
      <c r="A95" s="9" t="s">
        <v>265</v>
      </c>
      <c r="B95" s="10" t="s">
        <v>266</v>
      </c>
      <c r="C95" s="10" t="s">
        <v>119</v>
      </c>
      <c r="D95" s="10" t="s">
        <v>60</v>
      </c>
      <c r="E95" s="10">
        <v>111</v>
      </c>
      <c r="F95" s="11" t="s">
        <v>60</v>
      </c>
      <c r="G95" s="19" t="s">
        <v>61</v>
      </c>
      <c r="H95" s="10" t="s">
        <v>65</v>
      </c>
      <c r="I95" s="10" t="s">
        <v>61</v>
      </c>
      <c r="J95" s="10" t="s">
        <v>61</v>
      </c>
      <c r="K95" s="17" t="s">
        <v>313</v>
      </c>
      <c r="L95" s="11" t="s">
        <v>294</v>
      </c>
      <c r="M95" s="10">
        <v>2000</v>
      </c>
      <c r="N95" s="10">
        <v>50</v>
      </c>
      <c r="O95" s="10">
        <v>100</v>
      </c>
      <c r="P95" s="10">
        <v>250</v>
      </c>
      <c r="Q95" s="10">
        <v>250</v>
      </c>
      <c r="R95" s="10">
        <v>-250</v>
      </c>
      <c r="S95" s="10">
        <v>-250</v>
      </c>
      <c r="T95" s="10">
        <v>10</v>
      </c>
      <c r="U95" s="10">
        <v>10</v>
      </c>
      <c r="V95" s="10">
        <v>10</v>
      </c>
      <c r="W95" s="10">
        <v>10</v>
      </c>
      <c r="X95" s="18">
        <v>0.5</v>
      </c>
      <c r="Y95" s="18">
        <v>0.1</v>
      </c>
      <c r="Z95" s="18">
        <v>0.5</v>
      </c>
      <c r="AA95" s="18">
        <v>0.1</v>
      </c>
      <c r="AB95" s="10">
        <v>5</v>
      </c>
      <c r="AC95" s="10">
        <v>100</v>
      </c>
      <c r="AD95" s="10" t="s">
        <v>387</v>
      </c>
      <c r="AE95" s="5"/>
      <c r="AF95" s="6"/>
      <c r="AG95" s="6"/>
      <c r="AH95" s="6"/>
    </row>
    <row r="96" spans="1:34" ht="15.75" customHeight="1" x14ac:dyDescent="0.25">
      <c r="A96" s="9" t="s">
        <v>267</v>
      </c>
      <c r="B96" s="10" t="s">
        <v>268</v>
      </c>
      <c r="C96" s="10" t="s">
        <v>73</v>
      </c>
      <c r="D96" s="10" t="s">
        <v>60</v>
      </c>
      <c r="E96" s="10">
        <v>27</v>
      </c>
      <c r="F96" s="11" t="s">
        <v>60</v>
      </c>
      <c r="G96" s="19" t="s">
        <v>61</v>
      </c>
      <c r="H96" s="10" t="s">
        <v>65</v>
      </c>
      <c r="I96" s="10" t="s">
        <v>70</v>
      </c>
      <c r="J96" s="10" t="s">
        <v>71</v>
      </c>
      <c r="K96" s="17" t="s">
        <v>317</v>
      </c>
      <c r="L96" s="10" t="s">
        <v>63</v>
      </c>
      <c r="M96" s="10">
        <v>1000</v>
      </c>
      <c r="N96" s="10">
        <v>50</v>
      </c>
      <c r="O96" s="10">
        <v>100</v>
      </c>
      <c r="P96" s="10">
        <v>250</v>
      </c>
      <c r="Q96" s="10">
        <v>250</v>
      </c>
      <c r="R96" s="10">
        <v>-250</v>
      </c>
      <c r="S96" s="10">
        <v>-250</v>
      </c>
      <c r="T96" s="10">
        <v>10</v>
      </c>
      <c r="U96" s="10">
        <v>10</v>
      </c>
      <c r="V96" s="10">
        <v>10</v>
      </c>
      <c r="W96" s="10">
        <v>10</v>
      </c>
      <c r="X96" s="18">
        <v>0.5</v>
      </c>
      <c r="Y96" s="18">
        <v>0.1</v>
      </c>
      <c r="Z96" s="18">
        <v>0.5</v>
      </c>
      <c r="AA96" s="18">
        <v>0.1</v>
      </c>
      <c r="AB96" s="10">
        <v>5</v>
      </c>
      <c r="AC96" s="10">
        <v>100</v>
      </c>
      <c r="AD96" s="29" t="s">
        <v>440</v>
      </c>
      <c r="AE96" s="5"/>
      <c r="AF96" s="6"/>
      <c r="AG96" s="6"/>
      <c r="AH96" s="6"/>
    </row>
    <row r="97" spans="1:34" ht="15.75" customHeight="1" x14ac:dyDescent="0.25">
      <c r="A97" s="9" t="s">
        <v>269</v>
      </c>
      <c r="B97" s="10" t="s">
        <v>270</v>
      </c>
      <c r="C97" s="10" t="s">
        <v>73</v>
      </c>
      <c r="D97" s="10" t="s">
        <v>60</v>
      </c>
      <c r="E97" s="10">
        <v>89</v>
      </c>
      <c r="F97" s="11" t="s">
        <v>60</v>
      </c>
      <c r="G97" s="19" t="s">
        <v>61</v>
      </c>
      <c r="H97" s="10" t="s">
        <v>65</v>
      </c>
      <c r="I97" s="10" t="s">
        <v>61</v>
      </c>
      <c r="J97" s="10" t="s">
        <v>61</v>
      </c>
      <c r="K97" s="10" t="s">
        <v>61</v>
      </c>
      <c r="L97" s="27" t="s">
        <v>61</v>
      </c>
      <c r="M97" s="10" t="s">
        <v>61</v>
      </c>
      <c r="N97" s="10" t="s">
        <v>61</v>
      </c>
      <c r="O97" s="10" t="s">
        <v>61</v>
      </c>
      <c r="P97" s="10" t="s">
        <v>61</v>
      </c>
      <c r="Q97" s="10" t="s">
        <v>61</v>
      </c>
      <c r="R97" s="10" t="s">
        <v>61</v>
      </c>
      <c r="S97" s="10" t="s">
        <v>61</v>
      </c>
      <c r="T97" s="10" t="s">
        <v>61</v>
      </c>
      <c r="U97" s="10" t="s">
        <v>61</v>
      </c>
      <c r="V97" s="10" t="s">
        <v>61</v>
      </c>
      <c r="W97" s="10" t="s">
        <v>61</v>
      </c>
      <c r="X97" s="10" t="s">
        <v>61</v>
      </c>
      <c r="Y97" s="10" t="s">
        <v>61</v>
      </c>
      <c r="Z97" s="10" t="s">
        <v>61</v>
      </c>
      <c r="AA97" s="10" t="s">
        <v>61</v>
      </c>
      <c r="AB97" s="10">
        <v>5</v>
      </c>
      <c r="AC97" s="10">
        <v>100</v>
      </c>
      <c r="AD97" s="10" t="s">
        <v>377</v>
      </c>
      <c r="AE97" s="5"/>
      <c r="AF97" s="6"/>
      <c r="AG97" s="6"/>
      <c r="AH97" s="6"/>
    </row>
    <row r="98" spans="1:34" ht="15.75" customHeight="1" x14ac:dyDescent="0.25">
      <c r="A98" s="9" t="s">
        <v>271</v>
      </c>
      <c r="B98" s="10" t="s">
        <v>272</v>
      </c>
      <c r="C98" s="10" t="s">
        <v>82</v>
      </c>
      <c r="D98" s="10" t="s">
        <v>60</v>
      </c>
      <c r="E98" s="10">
        <f>15+15</f>
        <v>30</v>
      </c>
      <c r="F98" s="11" t="s">
        <v>60</v>
      </c>
      <c r="G98" s="19" t="s">
        <v>61</v>
      </c>
      <c r="H98" s="10" t="s">
        <v>65</v>
      </c>
      <c r="I98" s="10" t="s">
        <v>61</v>
      </c>
      <c r="J98" s="10" t="s">
        <v>61</v>
      </c>
      <c r="K98" s="10" t="s">
        <v>61</v>
      </c>
      <c r="L98" s="11" t="s">
        <v>294</v>
      </c>
      <c r="M98" s="10">
        <v>2000</v>
      </c>
      <c r="N98" s="10" t="s">
        <v>61</v>
      </c>
      <c r="O98" s="10" t="s">
        <v>61</v>
      </c>
      <c r="P98" s="10">
        <v>250</v>
      </c>
      <c r="Q98" s="10">
        <v>250</v>
      </c>
      <c r="R98" s="10">
        <v>-250</v>
      </c>
      <c r="S98" s="10">
        <v>-250</v>
      </c>
      <c r="T98" s="10">
        <v>10</v>
      </c>
      <c r="U98" s="10">
        <v>10</v>
      </c>
      <c r="V98" s="10">
        <v>10</v>
      </c>
      <c r="W98" s="10">
        <v>10</v>
      </c>
      <c r="X98" s="10" t="s">
        <v>61</v>
      </c>
      <c r="Y98" s="10" t="s">
        <v>61</v>
      </c>
      <c r="Z98" s="10" t="s">
        <v>61</v>
      </c>
      <c r="AA98" s="10" t="s">
        <v>61</v>
      </c>
      <c r="AB98" s="10">
        <v>5</v>
      </c>
      <c r="AC98" s="10">
        <v>100</v>
      </c>
      <c r="AD98" s="10" t="s">
        <v>378</v>
      </c>
      <c r="AE98" s="5"/>
      <c r="AF98" s="6"/>
      <c r="AG98" s="6"/>
      <c r="AH98" s="6"/>
    </row>
    <row r="99" spans="1:34" ht="15.75" customHeight="1" x14ac:dyDescent="0.25">
      <c r="A99" s="9" t="s">
        <v>273</v>
      </c>
      <c r="B99" s="10" t="s">
        <v>274</v>
      </c>
      <c r="C99" s="10" t="s">
        <v>96</v>
      </c>
      <c r="D99" s="10" t="s">
        <v>60</v>
      </c>
      <c r="E99" s="10">
        <v>165</v>
      </c>
      <c r="F99" s="11" t="s">
        <v>60</v>
      </c>
      <c r="G99" s="19" t="s">
        <v>61</v>
      </c>
      <c r="H99" s="10" t="s">
        <v>65</v>
      </c>
      <c r="I99" s="10" t="s">
        <v>61</v>
      </c>
      <c r="J99" s="10" t="s">
        <v>61</v>
      </c>
      <c r="K99" s="17" t="s">
        <v>313</v>
      </c>
      <c r="L99" s="27" t="s">
        <v>61</v>
      </c>
      <c r="M99" s="10" t="s">
        <v>61</v>
      </c>
      <c r="N99" s="10" t="s">
        <v>61</v>
      </c>
      <c r="O99" s="10" t="s">
        <v>61</v>
      </c>
      <c r="P99" s="10" t="s">
        <v>61</v>
      </c>
      <c r="Q99" s="10" t="s">
        <v>61</v>
      </c>
      <c r="R99" s="10" t="s">
        <v>61</v>
      </c>
      <c r="S99" s="10" t="s">
        <v>61</v>
      </c>
      <c r="T99" s="10" t="s">
        <v>61</v>
      </c>
      <c r="U99" s="10" t="s">
        <v>61</v>
      </c>
      <c r="V99" s="10" t="s">
        <v>61</v>
      </c>
      <c r="W99" s="10" t="s">
        <v>61</v>
      </c>
      <c r="X99" s="10" t="s">
        <v>61</v>
      </c>
      <c r="Y99" s="10" t="s">
        <v>61</v>
      </c>
      <c r="Z99" s="10" t="s">
        <v>61</v>
      </c>
      <c r="AA99" s="10" t="s">
        <v>61</v>
      </c>
      <c r="AB99" s="10">
        <v>5</v>
      </c>
      <c r="AC99" s="10">
        <v>100</v>
      </c>
      <c r="AD99" s="10" t="s">
        <v>379</v>
      </c>
      <c r="AE99" s="5"/>
      <c r="AF99" s="6"/>
      <c r="AG99" s="6"/>
      <c r="AH99" s="6"/>
    </row>
    <row r="100" spans="1:34" ht="15.75" customHeight="1" x14ac:dyDescent="0.25">
      <c r="A100" s="9" t="s">
        <v>275</v>
      </c>
      <c r="B100" s="10" t="s">
        <v>276</v>
      </c>
      <c r="C100" s="10" t="s">
        <v>125</v>
      </c>
      <c r="D100" s="10" t="s">
        <v>60</v>
      </c>
      <c r="E100" s="10">
        <v>221</v>
      </c>
      <c r="F100" s="11" t="s">
        <v>60</v>
      </c>
      <c r="G100" s="19" t="s">
        <v>61</v>
      </c>
      <c r="H100" s="10" t="s">
        <v>61</v>
      </c>
      <c r="I100" s="10" t="s">
        <v>61</v>
      </c>
      <c r="J100" s="10" t="s">
        <v>61</v>
      </c>
      <c r="K100" s="17" t="s">
        <v>313</v>
      </c>
      <c r="L100" s="27" t="s">
        <v>61</v>
      </c>
      <c r="M100" s="10" t="s">
        <v>61</v>
      </c>
      <c r="N100" s="10" t="s">
        <v>61</v>
      </c>
      <c r="O100" s="10" t="s">
        <v>61</v>
      </c>
      <c r="P100" s="10" t="s">
        <v>61</v>
      </c>
      <c r="Q100" s="10" t="s">
        <v>61</v>
      </c>
      <c r="R100" s="10" t="s">
        <v>61</v>
      </c>
      <c r="S100" s="10" t="s">
        <v>61</v>
      </c>
      <c r="T100" s="10" t="s">
        <v>61</v>
      </c>
      <c r="U100" s="10" t="s">
        <v>61</v>
      </c>
      <c r="V100" s="10" t="s">
        <v>61</v>
      </c>
      <c r="W100" s="10" t="s">
        <v>61</v>
      </c>
      <c r="X100" s="10" t="s">
        <v>61</v>
      </c>
      <c r="Y100" s="10" t="s">
        <v>61</v>
      </c>
      <c r="Z100" s="10" t="s">
        <v>61</v>
      </c>
      <c r="AA100" s="10" t="s">
        <v>61</v>
      </c>
      <c r="AB100" s="10">
        <v>5</v>
      </c>
      <c r="AC100" s="10">
        <v>100</v>
      </c>
      <c r="AD100" s="10" t="s">
        <v>443</v>
      </c>
      <c r="AE100" s="5"/>
      <c r="AF100" s="6"/>
      <c r="AG100" s="6"/>
      <c r="AH100" s="6"/>
    </row>
    <row r="101" spans="1:34" ht="15.75" customHeight="1" x14ac:dyDescent="0.25">
      <c r="A101" s="9" t="s">
        <v>277</v>
      </c>
      <c r="B101" s="10" t="s">
        <v>278</v>
      </c>
      <c r="C101" s="10" t="s">
        <v>73</v>
      </c>
      <c r="D101" s="10" t="s">
        <v>60</v>
      </c>
      <c r="E101" s="10">
        <v>58</v>
      </c>
      <c r="F101" s="11" t="s">
        <v>60</v>
      </c>
      <c r="G101" s="19" t="s">
        <v>311</v>
      </c>
      <c r="H101" s="10" t="s">
        <v>65</v>
      </c>
      <c r="I101" s="10" t="s">
        <v>70</v>
      </c>
      <c r="J101" s="10" t="s">
        <v>71</v>
      </c>
      <c r="K101" s="17" t="s">
        <v>313</v>
      </c>
      <c r="L101" s="10" t="s">
        <v>61</v>
      </c>
      <c r="M101" s="10" t="s">
        <v>61</v>
      </c>
      <c r="N101" s="10" t="s">
        <v>392</v>
      </c>
      <c r="O101" s="10" t="s">
        <v>393</v>
      </c>
      <c r="P101" s="10" t="s">
        <v>394</v>
      </c>
      <c r="Q101" s="10" t="s">
        <v>394</v>
      </c>
      <c r="R101" s="21" t="s">
        <v>395</v>
      </c>
      <c r="S101" s="21" t="s">
        <v>395</v>
      </c>
      <c r="T101" s="10">
        <v>10</v>
      </c>
      <c r="U101" s="10">
        <v>10</v>
      </c>
      <c r="V101" s="10">
        <v>10</v>
      </c>
      <c r="W101" s="10">
        <v>10</v>
      </c>
      <c r="X101" s="10" t="s">
        <v>396</v>
      </c>
      <c r="Y101" s="18">
        <v>0.1</v>
      </c>
      <c r="Z101" s="10" t="s">
        <v>396</v>
      </c>
      <c r="AA101" s="18">
        <v>0.1</v>
      </c>
      <c r="AB101" s="10" t="s">
        <v>60</v>
      </c>
      <c r="AC101" s="10">
        <v>100</v>
      </c>
      <c r="AD101" s="10" t="s">
        <v>391</v>
      </c>
      <c r="AE101" s="5"/>
      <c r="AF101" s="6"/>
      <c r="AG101" s="6"/>
      <c r="AH101" s="6"/>
    </row>
    <row r="102" spans="1:34" ht="15.75" customHeight="1" x14ac:dyDescent="0.25">
      <c r="A102" s="9" t="s">
        <v>279</v>
      </c>
      <c r="B102" s="10" t="s">
        <v>280</v>
      </c>
      <c r="C102" s="10" t="s">
        <v>79</v>
      </c>
      <c r="D102" s="10" t="s">
        <v>60</v>
      </c>
      <c r="E102" s="10">
        <v>37</v>
      </c>
      <c r="F102" s="11" t="s">
        <v>60</v>
      </c>
      <c r="G102" s="19" t="s">
        <v>411</v>
      </c>
      <c r="H102" s="10" t="s">
        <v>65</v>
      </c>
      <c r="I102" s="10" t="s">
        <v>61</v>
      </c>
      <c r="J102" s="10" t="s">
        <v>71</v>
      </c>
      <c r="K102" s="17" t="s">
        <v>317</v>
      </c>
      <c r="L102" s="27" t="s">
        <v>295</v>
      </c>
      <c r="M102" s="10">
        <v>2000</v>
      </c>
      <c r="N102" s="10" t="s">
        <v>353</v>
      </c>
      <c r="O102" s="10" t="s">
        <v>352</v>
      </c>
      <c r="P102" s="10">
        <v>250</v>
      </c>
      <c r="Q102" s="10">
        <v>250</v>
      </c>
      <c r="R102" s="10">
        <v>-250</v>
      </c>
      <c r="S102" s="10">
        <v>-250</v>
      </c>
      <c r="T102" s="10">
        <v>10</v>
      </c>
      <c r="U102" s="10">
        <v>10</v>
      </c>
      <c r="V102" s="10">
        <v>10</v>
      </c>
      <c r="W102" s="10">
        <v>10</v>
      </c>
      <c r="X102" s="18">
        <v>0.5</v>
      </c>
      <c r="Y102" s="18">
        <v>0.5</v>
      </c>
      <c r="Z102" s="18">
        <v>0.5</v>
      </c>
      <c r="AA102" s="18">
        <v>0.5</v>
      </c>
      <c r="AB102" s="10">
        <v>4</v>
      </c>
      <c r="AC102" s="10">
        <v>80</v>
      </c>
      <c r="AD102" s="29" t="s">
        <v>441</v>
      </c>
      <c r="AE102" s="5"/>
      <c r="AF102" s="6"/>
      <c r="AG102" s="6"/>
      <c r="AH102" s="6"/>
    </row>
    <row r="103" spans="1:34" ht="15.75" customHeight="1" x14ac:dyDescent="0.25">
      <c r="A103" s="9" t="s">
        <v>281</v>
      </c>
      <c r="B103" s="10" t="s">
        <v>282</v>
      </c>
      <c r="C103" s="10" t="s">
        <v>73</v>
      </c>
      <c r="D103" s="10" t="s">
        <v>60</v>
      </c>
      <c r="E103" s="10">
        <v>572</v>
      </c>
      <c r="F103" s="11" t="s">
        <v>60</v>
      </c>
      <c r="G103" s="19" t="s">
        <v>61</v>
      </c>
      <c r="H103" s="10" t="s">
        <v>61</v>
      </c>
      <c r="I103" s="10" t="s">
        <v>61</v>
      </c>
      <c r="J103" s="10" t="s">
        <v>71</v>
      </c>
      <c r="K103" s="17" t="s">
        <v>317</v>
      </c>
      <c r="L103" s="11" t="s">
        <v>68</v>
      </c>
      <c r="M103" s="10">
        <v>2000</v>
      </c>
      <c r="N103" s="10" t="s">
        <v>61</v>
      </c>
      <c r="O103" s="10" t="s">
        <v>61</v>
      </c>
      <c r="P103" s="10">
        <v>250</v>
      </c>
      <c r="Q103" s="10">
        <v>250</v>
      </c>
      <c r="R103" s="10">
        <v>-250</v>
      </c>
      <c r="S103" s="10">
        <v>-250</v>
      </c>
      <c r="T103" s="10">
        <v>10</v>
      </c>
      <c r="U103" s="10">
        <v>10</v>
      </c>
      <c r="V103" s="10">
        <v>10</v>
      </c>
      <c r="W103" s="10">
        <v>10</v>
      </c>
      <c r="X103" s="10" t="s">
        <v>61</v>
      </c>
      <c r="Y103" s="10" t="s">
        <v>61</v>
      </c>
      <c r="Z103" s="10" t="s">
        <v>61</v>
      </c>
      <c r="AA103" s="10" t="s">
        <v>61</v>
      </c>
      <c r="AB103" s="10">
        <v>5</v>
      </c>
      <c r="AC103" s="10">
        <v>100</v>
      </c>
      <c r="AD103" s="10" t="s">
        <v>432</v>
      </c>
      <c r="AE103" s="5"/>
      <c r="AF103" s="6"/>
      <c r="AG103" s="6"/>
      <c r="AH103" s="6"/>
    </row>
    <row r="104" spans="1:34" ht="15.75" customHeight="1" x14ac:dyDescent="0.25">
      <c r="A104" s="9" t="s">
        <v>283</v>
      </c>
      <c r="B104" s="10" t="s">
        <v>284</v>
      </c>
      <c r="C104" s="10" t="s">
        <v>105</v>
      </c>
      <c r="D104" s="10" t="s">
        <v>60</v>
      </c>
      <c r="E104" s="10">
        <f>20+20</f>
        <v>40</v>
      </c>
      <c r="F104" s="11" t="s">
        <v>60</v>
      </c>
      <c r="G104" s="19" t="s">
        <v>429</v>
      </c>
      <c r="H104" s="10" t="s">
        <v>65</v>
      </c>
      <c r="I104" s="10" t="s">
        <v>66</v>
      </c>
      <c r="J104" s="10" t="s">
        <v>67</v>
      </c>
      <c r="K104" s="17" t="s">
        <v>313</v>
      </c>
      <c r="L104" s="11" t="s">
        <v>294</v>
      </c>
      <c r="M104" s="10">
        <v>2000</v>
      </c>
      <c r="N104" s="10">
        <v>50</v>
      </c>
      <c r="O104" s="10">
        <v>100</v>
      </c>
      <c r="P104" s="10">
        <v>250</v>
      </c>
      <c r="Q104" s="10">
        <v>250</v>
      </c>
      <c r="R104" s="10">
        <v>-250</v>
      </c>
      <c r="S104" s="10">
        <v>-250</v>
      </c>
      <c r="T104" s="10">
        <v>10</v>
      </c>
      <c r="U104" s="10">
        <v>10</v>
      </c>
      <c r="V104" s="10">
        <v>10</v>
      </c>
      <c r="W104" s="10">
        <v>10</v>
      </c>
      <c r="X104" s="18">
        <v>0.5</v>
      </c>
      <c r="Y104" s="18">
        <v>0.1</v>
      </c>
      <c r="Z104" s="18">
        <v>0.5</v>
      </c>
      <c r="AA104" s="18">
        <v>0.1</v>
      </c>
      <c r="AB104" s="10">
        <v>5</v>
      </c>
      <c r="AC104" s="10">
        <v>100</v>
      </c>
      <c r="AD104" s="10" t="s">
        <v>433</v>
      </c>
      <c r="AE104" s="5"/>
      <c r="AF104" s="6"/>
      <c r="AG104" s="6"/>
      <c r="AH104" s="6"/>
    </row>
    <row r="105" spans="1:34" ht="15.75" customHeight="1" x14ac:dyDescent="0.25">
      <c r="A105" s="9" t="s">
        <v>285</v>
      </c>
      <c r="B105" s="10" t="s">
        <v>286</v>
      </c>
      <c r="C105" s="10" t="s">
        <v>108</v>
      </c>
      <c r="D105" s="10" t="s">
        <v>60</v>
      </c>
      <c r="E105" s="10">
        <v>102</v>
      </c>
      <c r="F105" s="11" t="s">
        <v>60</v>
      </c>
      <c r="G105" s="19" t="s">
        <v>61</v>
      </c>
      <c r="H105" s="10" t="s">
        <v>65</v>
      </c>
      <c r="I105" s="10" t="s">
        <v>61</v>
      </c>
      <c r="J105" s="10" t="s">
        <v>61</v>
      </c>
      <c r="K105" s="17" t="s">
        <v>313</v>
      </c>
      <c r="L105" s="11" t="s">
        <v>304</v>
      </c>
      <c r="M105" s="10">
        <v>2000</v>
      </c>
      <c r="N105" s="10">
        <v>50</v>
      </c>
      <c r="O105" s="10">
        <v>100</v>
      </c>
      <c r="P105" s="10" t="s">
        <v>61</v>
      </c>
      <c r="Q105" s="10" t="s">
        <v>61</v>
      </c>
      <c r="R105" s="10" t="s">
        <v>61</v>
      </c>
      <c r="S105" s="10" t="s">
        <v>61</v>
      </c>
      <c r="T105" s="10" t="s">
        <v>61</v>
      </c>
      <c r="U105" s="10" t="s">
        <v>61</v>
      </c>
      <c r="V105" s="10" t="s">
        <v>61</v>
      </c>
      <c r="W105" s="10" t="s">
        <v>61</v>
      </c>
      <c r="X105" s="10" t="s">
        <v>61</v>
      </c>
      <c r="Y105" s="10" t="s">
        <v>61</v>
      </c>
      <c r="Z105" s="10" t="s">
        <v>61</v>
      </c>
      <c r="AA105" s="10" t="s">
        <v>61</v>
      </c>
      <c r="AB105" s="10">
        <v>6</v>
      </c>
      <c r="AC105" s="10">
        <v>150</v>
      </c>
      <c r="AD105" s="10" t="s">
        <v>380</v>
      </c>
      <c r="AE105" s="5"/>
      <c r="AF105" s="6"/>
      <c r="AG105" s="6"/>
      <c r="AH105" s="6"/>
    </row>
    <row r="106" spans="1:34" ht="15.75" customHeight="1" x14ac:dyDescent="0.25">
      <c r="A106" s="9" t="s">
        <v>444</v>
      </c>
      <c r="B106" s="10" t="s">
        <v>445</v>
      </c>
      <c r="C106" s="10" t="s">
        <v>125</v>
      </c>
      <c r="D106" s="19" t="s">
        <v>60</v>
      </c>
      <c r="E106" s="19">
        <v>351</v>
      </c>
      <c r="F106" s="19" t="s">
        <v>60</v>
      </c>
      <c r="G106" s="19" t="s">
        <v>61</v>
      </c>
      <c r="H106" s="19" t="s">
        <v>61</v>
      </c>
      <c r="I106" s="19" t="s">
        <v>61</v>
      </c>
      <c r="J106" s="19" t="s">
        <v>61</v>
      </c>
      <c r="K106" s="19" t="s">
        <v>61</v>
      </c>
      <c r="L106" s="10" t="s">
        <v>61</v>
      </c>
      <c r="M106" s="19" t="s">
        <v>61</v>
      </c>
      <c r="N106" s="10" t="s">
        <v>61</v>
      </c>
      <c r="O106" s="10" t="s">
        <v>61</v>
      </c>
      <c r="P106" s="10" t="s">
        <v>61</v>
      </c>
      <c r="Q106" s="10" t="s">
        <v>61</v>
      </c>
      <c r="R106" s="10" t="s">
        <v>61</v>
      </c>
      <c r="S106" s="10" t="s">
        <v>61</v>
      </c>
      <c r="T106" s="10" t="s">
        <v>61</v>
      </c>
      <c r="U106" s="10" t="s">
        <v>61</v>
      </c>
      <c r="V106" s="10" t="s">
        <v>61</v>
      </c>
      <c r="W106" s="10" t="s">
        <v>61</v>
      </c>
      <c r="X106" s="10" t="s">
        <v>61</v>
      </c>
      <c r="Y106" s="10" t="s">
        <v>61</v>
      </c>
      <c r="Z106" s="10" t="s">
        <v>61</v>
      </c>
      <c r="AA106" s="10" t="s">
        <v>61</v>
      </c>
      <c r="AB106" s="10" t="s">
        <v>60</v>
      </c>
      <c r="AC106" s="19">
        <v>100</v>
      </c>
      <c r="AD106" s="19" t="s">
        <v>446</v>
      </c>
      <c r="AE106" s="5"/>
      <c r="AF106" s="6"/>
      <c r="AG106" s="6"/>
      <c r="AH106" s="6"/>
    </row>
    <row r="107" spans="1:34" ht="15.75" customHeight="1" x14ac:dyDescent="0.25">
      <c r="D107" s="5"/>
      <c r="E107" s="5"/>
      <c r="F107" s="5"/>
      <c r="G107" s="5"/>
      <c r="H107" s="5"/>
      <c r="I107" s="5"/>
      <c r="J107" s="5"/>
      <c r="K107" s="5"/>
      <c r="M107" s="5"/>
      <c r="AC107" s="5"/>
      <c r="AD107" s="5"/>
      <c r="AE107" s="5"/>
      <c r="AF107" s="6"/>
      <c r="AG107" s="6"/>
      <c r="AH107" s="6"/>
    </row>
    <row r="108" spans="1:34" ht="15.75" customHeight="1" x14ac:dyDescent="0.25">
      <c r="D108" s="5"/>
      <c r="E108" s="5"/>
      <c r="F108" s="5"/>
      <c r="G108" s="5"/>
      <c r="H108" s="5"/>
      <c r="I108" s="5"/>
      <c r="J108" s="5"/>
      <c r="K108" s="5"/>
      <c r="M108" s="5"/>
      <c r="AC108" s="5"/>
      <c r="AD108" s="5"/>
      <c r="AE108" s="5"/>
      <c r="AF108" s="6"/>
      <c r="AG108" s="6"/>
      <c r="AH108" s="6"/>
    </row>
    <row r="109" spans="1:34" ht="15.75" customHeight="1" x14ac:dyDescent="0.25">
      <c r="D109" s="5"/>
      <c r="E109" s="5"/>
      <c r="F109" s="5"/>
      <c r="G109" s="5"/>
      <c r="H109" s="5"/>
      <c r="I109" s="5"/>
      <c r="J109" s="5"/>
      <c r="K109" s="5"/>
      <c r="M109" s="5"/>
      <c r="AC109" s="5"/>
      <c r="AD109" s="5"/>
      <c r="AE109" s="5"/>
      <c r="AF109" s="6"/>
      <c r="AG109" s="6"/>
      <c r="AH109" s="6"/>
    </row>
    <row r="110" spans="1:34" ht="15.75" customHeight="1" x14ac:dyDescent="0.25">
      <c r="D110" s="5"/>
      <c r="E110" s="5"/>
      <c r="F110" s="5"/>
      <c r="G110" s="5"/>
      <c r="H110" s="5"/>
      <c r="I110" s="5"/>
      <c r="J110" s="5"/>
      <c r="K110" s="5"/>
      <c r="M110" s="5"/>
      <c r="AB110" s="5"/>
      <c r="AC110" s="5"/>
      <c r="AD110" s="5"/>
      <c r="AE110" s="5"/>
      <c r="AF110" s="6"/>
      <c r="AG110" s="6"/>
      <c r="AH110" s="6"/>
    </row>
    <row r="111" spans="1:34" ht="15.75" customHeight="1" x14ac:dyDescent="0.25">
      <c r="D111" s="5"/>
      <c r="E111" s="5"/>
      <c r="F111" s="5"/>
      <c r="G111" s="5"/>
      <c r="H111" s="5"/>
      <c r="I111" s="5"/>
      <c r="J111" s="5"/>
      <c r="K111" s="5"/>
      <c r="M111" s="5"/>
      <c r="AB111" s="5"/>
      <c r="AC111" s="5"/>
      <c r="AD111" s="5"/>
      <c r="AE111" s="5"/>
      <c r="AF111" s="6"/>
      <c r="AG111" s="6"/>
      <c r="AH111" s="6"/>
    </row>
    <row r="112" spans="1:34" ht="15.75" customHeight="1" x14ac:dyDescent="0.25">
      <c r="D112" s="5"/>
      <c r="E112" s="5"/>
      <c r="F112" s="5"/>
      <c r="G112" s="5"/>
      <c r="H112" s="5"/>
      <c r="I112" s="5"/>
      <c r="J112" s="5"/>
      <c r="K112" s="5"/>
      <c r="M112" s="5"/>
      <c r="AB112" s="5"/>
      <c r="AC112" s="5"/>
      <c r="AD112" s="5"/>
      <c r="AE112" s="5"/>
      <c r="AF112" s="6"/>
      <c r="AG112" s="6"/>
      <c r="AH112" s="6"/>
    </row>
    <row r="113" spans="1:34" ht="15.75" customHeight="1" x14ac:dyDescent="0.25">
      <c r="D113" s="5"/>
      <c r="E113" s="5"/>
      <c r="F113" s="5"/>
      <c r="G113" s="5"/>
      <c r="H113" s="5"/>
      <c r="I113" s="5"/>
      <c r="J113" s="5"/>
      <c r="K113" s="5"/>
      <c r="M113" s="5"/>
      <c r="AB113" s="5"/>
      <c r="AC113" s="5"/>
      <c r="AD113" s="5"/>
      <c r="AE113" s="5"/>
      <c r="AF113" s="6"/>
      <c r="AG113" s="6"/>
      <c r="AH113" s="6"/>
    </row>
    <row r="114" spans="1:34" ht="15.75" customHeight="1" x14ac:dyDescent="0.25">
      <c r="D114" s="5"/>
      <c r="E114" s="5"/>
      <c r="F114" s="5"/>
      <c r="G114" s="5"/>
      <c r="H114" s="5"/>
      <c r="I114" s="5"/>
      <c r="J114" s="5"/>
      <c r="K114" s="5"/>
      <c r="M114" s="5"/>
      <c r="AB114" s="5"/>
      <c r="AC114" s="5"/>
      <c r="AD114" s="5"/>
      <c r="AE114" s="5"/>
      <c r="AF114" s="6"/>
      <c r="AG114" s="6"/>
      <c r="AH114" s="6"/>
    </row>
    <row r="115" spans="1:34" ht="15.75" customHeight="1" x14ac:dyDescent="0.25">
      <c r="D115" s="5"/>
      <c r="E115" s="5"/>
      <c r="F115" s="5"/>
      <c r="G115" s="5"/>
      <c r="H115" s="5"/>
      <c r="I115" s="5"/>
      <c r="J115" s="5"/>
      <c r="K115" s="5"/>
      <c r="M115" s="5"/>
      <c r="AB115" s="5"/>
      <c r="AC115" s="5"/>
      <c r="AD115" s="5"/>
      <c r="AE115" s="5"/>
      <c r="AF115" s="6"/>
      <c r="AG115" s="6"/>
      <c r="AH115" s="6"/>
    </row>
    <row r="116" spans="1:34" ht="15.75" customHeight="1" x14ac:dyDescent="0.25">
      <c r="D116" s="5"/>
      <c r="E116" s="5"/>
      <c r="F116" s="5"/>
      <c r="G116" s="5"/>
      <c r="H116" s="5"/>
      <c r="I116" s="5"/>
      <c r="J116" s="5"/>
      <c r="K116" s="5"/>
      <c r="M116" s="5"/>
      <c r="AB116" s="5"/>
      <c r="AC116" s="5"/>
      <c r="AD116" s="5"/>
      <c r="AE116" s="5"/>
      <c r="AF116" s="6"/>
      <c r="AG116" s="6"/>
      <c r="AH116" s="6"/>
    </row>
    <row r="117" spans="1:34" ht="15.75" customHeight="1" x14ac:dyDescent="0.25">
      <c r="D117" s="5"/>
      <c r="E117" s="5"/>
      <c r="F117" s="5"/>
      <c r="G117" s="5"/>
      <c r="H117" s="5"/>
      <c r="I117" s="5"/>
      <c r="J117" s="5"/>
      <c r="K117" s="5"/>
      <c r="M117" s="5"/>
      <c r="AB117" s="5"/>
      <c r="AC117" s="5"/>
      <c r="AD117" s="5"/>
      <c r="AE117" s="5"/>
      <c r="AF117" s="6"/>
      <c r="AG117" s="6"/>
      <c r="AH117" s="6"/>
    </row>
    <row r="118" spans="1:34" ht="15.75" customHeight="1" x14ac:dyDescent="0.25">
      <c r="D118" s="5"/>
      <c r="E118" s="5"/>
      <c r="F118" s="5"/>
      <c r="G118" s="5"/>
      <c r="H118" s="5"/>
      <c r="I118" s="5"/>
      <c r="J118" s="5"/>
      <c r="K118" s="5"/>
      <c r="M118" s="5"/>
      <c r="AB118" s="5"/>
      <c r="AC118" s="5"/>
      <c r="AD118" s="5"/>
      <c r="AE118" s="5"/>
      <c r="AF118" s="6"/>
      <c r="AG118" s="6"/>
      <c r="AH118" s="6"/>
    </row>
    <row r="119" spans="1:34" ht="15.75" customHeight="1" x14ac:dyDescent="0.25">
      <c r="D119" s="5"/>
      <c r="E119" s="5"/>
      <c r="F119" s="5"/>
      <c r="G119" s="5"/>
      <c r="H119" s="5"/>
      <c r="I119" s="5"/>
      <c r="J119" s="5"/>
      <c r="K119" s="5"/>
      <c r="M119" s="5"/>
      <c r="AB119" s="5"/>
      <c r="AC119" s="5"/>
      <c r="AD119" s="5"/>
      <c r="AE119" s="5"/>
      <c r="AF119" s="6"/>
      <c r="AG119" s="6"/>
      <c r="AH119" s="6"/>
    </row>
    <row r="120" spans="1:34" ht="15.75" customHeight="1" x14ac:dyDescent="0.25">
      <c r="D120" s="5"/>
      <c r="E120" s="5"/>
      <c r="F120" s="5"/>
      <c r="G120" s="5"/>
      <c r="H120" s="5"/>
      <c r="I120" s="5"/>
      <c r="J120" s="5"/>
      <c r="K120" s="5"/>
      <c r="L120" s="5"/>
      <c r="M120" s="5"/>
      <c r="AB120" s="5"/>
      <c r="AC120" s="5"/>
      <c r="AD120" s="5"/>
      <c r="AE120" s="5"/>
      <c r="AF120" s="6"/>
      <c r="AG120" s="6"/>
      <c r="AH120" s="6"/>
    </row>
    <row r="121" spans="1:34" ht="15.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6"/>
      <c r="AG121" s="6"/>
      <c r="AH121" s="6"/>
    </row>
    <row r="122" spans="1:34" ht="15.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6"/>
      <c r="AG122" s="6"/>
      <c r="AH122" s="6"/>
    </row>
    <row r="123" spans="1:34" ht="15.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6"/>
      <c r="AG123" s="6"/>
      <c r="AH123" s="6"/>
    </row>
    <row r="124" spans="1:34" ht="15.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6"/>
      <c r="AG124" s="6"/>
      <c r="AH124" s="6"/>
    </row>
    <row r="125" spans="1:34" ht="15.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6"/>
      <c r="AG125" s="6"/>
      <c r="AH125" s="6"/>
    </row>
    <row r="126" spans="1:34" ht="15.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6"/>
      <c r="AG126" s="6"/>
      <c r="AH126" s="6"/>
    </row>
    <row r="127" spans="1:34" ht="15.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6"/>
      <c r="AG127" s="6"/>
      <c r="AH127" s="6"/>
    </row>
    <row r="128" spans="1:34" ht="15.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6"/>
      <c r="AG128" s="6"/>
      <c r="AH128" s="6"/>
    </row>
    <row r="129" spans="1:34" ht="15.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6"/>
      <c r="AG129" s="6"/>
      <c r="AH129" s="6"/>
    </row>
    <row r="130" spans="1:34" ht="15.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6"/>
      <c r="AG130" s="6"/>
      <c r="AH130" s="6"/>
    </row>
    <row r="131" spans="1:34" ht="15.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6"/>
      <c r="AG131" s="6"/>
      <c r="AH131" s="6"/>
    </row>
    <row r="132" spans="1:34" ht="15.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6"/>
      <c r="AG132" s="6"/>
      <c r="AH132" s="6"/>
    </row>
    <row r="133" spans="1:34" ht="15.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6"/>
      <c r="AG133" s="6"/>
      <c r="AH133" s="6"/>
    </row>
    <row r="134" spans="1:34" ht="15.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6"/>
      <c r="AG134" s="6"/>
      <c r="AH134" s="6"/>
    </row>
    <row r="135" spans="1:34" ht="15.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6"/>
      <c r="AG135" s="6"/>
      <c r="AH135" s="6"/>
    </row>
    <row r="136" spans="1:34" ht="15.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6"/>
      <c r="AG136" s="6"/>
      <c r="AH136" s="6"/>
    </row>
    <row r="137" spans="1:34" ht="15.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6"/>
      <c r="AG137" s="6"/>
      <c r="AH137" s="6"/>
    </row>
    <row r="138" spans="1:34" ht="15.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6"/>
      <c r="AG138" s="6"/>
      <c r="AH138" s="6"/>
    </row>
    <row r="139" spans="1:34" ht="15.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6"/>
      <c r="AG139" s="6"/>
      <c r="AH139" s="6"/>
    </row>
    <row r="140" spans="1:34" ht="15.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6"/>
      <c r="AG140" s="6"/>
      <c r="AH140" s="6"/>
    </row>
    <row r="141" spans="1:34" ht="15.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6"/>
      <c r="AG141" s="6"/>
      <c r="AH141" s="6"/>
    </row>
    <row r="142" spans="1:34" ht="15.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6"/>
      <c r="AG142" s="6"/>
      <c r="AH142" s="6"/>
    </row>
    <row r="143" spans="1:34" ht="15.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6"/>
      <c r="AG143" s="6"/>
      <c r="AH143" s="6"/>
    </row>
    <row r="144" spans="1:34" ht="15.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6"/>
      <c r="AG144" s="6"/>
      <c r="AH144" s="6"/>
    </row>
    <row r="145" spans="1:34" ht="15.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6"/>
      <c r="AG145" s="6"/>
      <c r="AH145" s="6"/>
    </row>
    <row r="146" spans="1:34" ht="15.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6"/>
      <c r="AG146" s="6"/>
      <c r="AH146" s="6"/>
    </row>
    <row r="147" spans="1:34" ht="15.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6"/>
      <c r="AG147" s="6"/>
      <c r="AH147" s="6"/>
    </row>
    <row r="148" spans="1:34" ht="15.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6"/>
      <c r="AG148" s="6"/>
      <c r="AH148" s="6"/>
    </row>
    <row r="149" spans="1:34" ht="15.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6"/>
      <c r="AG149" s="6"/>
      <c r="AH149" s="6"/>
    </row>
    <row r="150" spans="1:34" ht="15.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6"/>
      <c r="AG150" s="6"/>
      <c r="AH150" s="6"/>
    </row>
    <row r="151" spans="1:34" ht="15.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6"/>
      <c r="AG151" s="6"/>
      <c r="AH151" s="6"/>
    </row>
    <row r="152" spans="1:34" ht="15.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6"/>
      <c r="AG152" s="6"/>
      <c r="AH152" s="6"/>
    </row>
    <row r="153" spans="1:34" ht="15.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6"/>
      <c r="AG153" s="6"/>
      <c r="AH153" s="6"/>
    </row>
    <row r="154" spans="1:34" ht="15.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6"/>
      <c r="AG154" s="6"/>
      <c r="AH154" s="6"/>
    </row>
    <row r="155" spans="1:34" ht="15.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6"/>
      <c r="AG155" s="6"/>
      <c r="AH155" s="6"/>
    </row>
    <row r="156" spans="1:34" ht="15.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6"/>
      <c r="AG156" s="6"/>
      <c r="AH156" s="6"/>
    </row>
    <row r="157" spans="1:34" ht="15.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6"/>
      <c r="AG157" s="6"/>
      <c r="AH157" s="6"/>
    </row>
    <row r="158" spans="1:34" ht="15.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6"/>
      <c r="AG158" s="6"/>
      <c r="AH158" s="6"/>
    </row>
    <row r="159" spans="1:34" ht="15.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6"/>
      <c r="AG159" s="6"/>
      <c r="AH159" s="6"/>
    </row>
    <row r="160" spans="1:34" ht="15.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6"/>
      <c r="AG160" s="6"/>
      <c r="AH160" s="6"/>
    </row>
    <row r="161" spans="1:34" ht="15.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6"/>
      <c r="AG161" s="6"/>
      <c r="AH161" s="6"/>
    </row>
    <row r="162" spans="1:34" ht="15.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6"/>
      <c r="AG162" s="6"/>
      <c r="AH162" s="6"/>
    </row>
    <row r="163" spans="1:34" ht="15.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6"/>
      <c r="AG163" s="6"/>
      <c r="AH163" s="6"/>
    </row>
    <row r="164" spans="1:34" ht="15.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6"/>
      <c r="AG164" s="6"/>
      <c r="AH164" s="6"/>
    </row>
    <row r="165" spans="1:34" ht="15.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6"/>
      <c r="AG165" s="6"/>
      <c r="AH165" s="6"/>
    </row>
    <row r="166" spans="1:34" ht="15.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6"/>
      <c r="AG166" s="6"/>
      <c r="AH166" s="6"/>
    </row>
    <row r="167" spans="1:34" ht="15.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6"/>
      <c r="AG167" s="6"/>
      <c r="AH167" s="6"/>
    </row>
    <row r="168" spans="1:34" ht="15.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6"/>
      <c r="AG168" s="6"/>
      <c r="AH168" s="6"/>
    </row>
    <row r="169" spans="1:34" ht="15.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6"/>
      <c r="AG169" s="6"/>
      <c r="AH169" s="6"/>
    </row>
    <row r="170" spans="1:34" ht="15.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6"/>
      <c r="AG170" s="6"/>
      <c r="AH170" s="6"/>
    </row>
    <row r="171" spans="1:34" ht="15.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6"/>
      <c r="AG171" s="6"/>
      <c r="AH171" s="6"/>
    </row>
    <row r="172" spans="1:34" ht="15.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6"/>
      <c r="AG172" s="6"/>
      <c r="AH172" s="6"/>
    </row>
    <row r="173" spans="1:34" ht="15.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6"/>
      <c r="AG173" s="6"/>
      <c r="AH173" s="6"/>
    </row>
    <row r="174" spans="1:34" ht="15.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6"/>
      <c r="AG174" s="6"/>
      <c r="AH174" s="6"/>
    </row>
    <row r="175" spans="1:34" ht="15.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6"/>
      <c r="AG175" s="6"/>
      <c r="AH175" s="6"/>
    </row>
    <row r="176" spans="1:34" ht="15.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6"/>
      <c r="AG176" s="6"/>
      <c r="AH176" s="6"/>
    </row>
    <row r="177" spans="1:34" ht="15.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6"/>
      <c r="AG177" s="6"/>
      <c r="AH177" s="6"/>
    </row>
    <row r="178" spans="1:34" ht="15.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6"/>
      <c r="AG178" s="6"/>
      <c r="AH178" s="6"/>
    </row>
    <row r="179" spans="1:34" ht="15.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6"/>
      <c r="AG179" s="6"/>
      <c r="AH179" s="6"/>
    </row>
    <row r="180" spans="1:34" ht="15.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6"/>
      <c r="AG180" s="6"/>
      <c r="AH180" s="6"/>
    </row>
    <row r="181" spans="1:34" ht="15.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6"/>
      <c r="AG181" s="6"/>
      <c r="AH181" s="6"/>
    </row>
    <row r="182" spans="1:34" ht="15.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6"/>
      <c r="AG182" s="6"/>
      <c r="AH182" s="6"/>
    </row>
    <row r="183" spans="1:34" ht="15.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6"/>
      <c r="AG183" s="6"/>
      <c r="AH183" s="6"/>
    </row>
    <row r="184" spans="1:34" ht="15.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6"/>
      <c r="AG184" s="6"/>
      <c r="AH184" s="6"/>
    </row>
    <row r="185" spans="1:34" ht="15.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6"/>
      <c r="AG185" s="6"/>
      <c r="AH185" s="6"/>
    </row>
    <row r="186" spans="1:34" ht="15.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6"/>
      <c r="AG186" s="6"/>
      <c r="AH186" s="6"/>
    </row>
    <row r="187" spans="1:34" ht="15.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6"/>
      <c r="AG187" s="6"/>
      <c r="AH187" s="6"/>
    </row>
    <row r="188" spans="1:34" ht="15.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6"/>
      <c r="AG188" s="6"/>
      <c r="AH188" s="6"/>
    </row>
    <row r="189" spans="1:34" ht="15.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6"/>
      <c r="AG189" s="6"/>
      <c r="AH189" s="6"/>
    </row>
    <row r="190" spans="1:34" ht="15.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6"/>
      <c r="AG190" s="6"/>
      <c r="AH190" s="6"/>
    </row>
    <row r="191" spans="1:34" ht="15.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6"/>
      <c r="AG191" s="6"/>
      <c r="AH191" s="6"/>
    </row>
    <row r="192" spans="1:34" ht="15.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6"/>
      <c r="AG192" s="6"/>
      <c r="AH192" s="6"/>
    </row>
    <row r="193" spans="1:34" ht="15.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6"/>
      <c r="AG193" s="6"/>
      <c r="AH193" s="6"/>
    </row>
    <row r="194" spans="1:34" ht="15.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6"/>
      <c r="AG194" s="6"/>
      <c r="AH194" s="6"/>
    </row>
    <row r="195" spans="1:34" ht="15.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6"/>
      <c r="AG195" s="6"/>
      <c r="AH195" s="6"/>
    </row>
    <row r="196" spans="1:34" ht="15.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6"/>
      <c r="AG196" s="6"/>
      <c r="AH196" s="6"/>
    </row>
    <row r="197" spans="1:34" ht="15.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6"/>
      <c r="AG197" s="6"/>
      <c r="AH197" s="6"/>
    </row>
    <row r="198" spans="1:34" ht="15.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6"/>
      <c r="AG198" s="6"/>
      <c r="AH198" s="6"/>
    </row>
    <row r="199" spans="1:34" ht="15.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6"/>
      <c r="AG199" s="6"/>
      <c r="AH199" s="6"/>
    </row>
    <row r="200" spans="1:34" ht="15.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6"/>
      <c r="AG200" s="6"/>
      <c r="AH200" s="6"/>
    </row>
    <row r="201" spans="1:34" ht="15.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6"/>
      <c r="AG201" s="6"/>
      <c r="AH201" s="6"/>
    </row>
    <row r="202" spans="1:34" ht="15.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6"/>
      <c r="AG202" s="6"/>
      <c r="AH202" s="6"/>
    </row>
    <row r="203" spans="1:34" ht="15.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6"/>
      <c r="AG203" s="6"/>
      <c r="AH203" s="6"/>
    </row>
    <row r="204" spans="1:34" ht="15.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6"/>
      <c r="AG204" s="6"/>
      <c r="AH204" s="6"/>
    </row>
    <row r="205" spans="1:34" ht="15.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6"/>
      <c r="AG205" s="6"/>
      <c r="AH205" s="6"/>
    </row>
    <row r="206" spans="1:34" ht="15.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6"/>
      <c r="AG206" s="6"/>
      <c r="AH206" s="6"/>
    </row>
    <row r="207" spans="1:34" ht="15.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6"/>
      <c r="AG207" s="6"/>
      <c r="AH207" s="6"/>
    </row>
    <row r="208" spans="1:34" ht="15.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6"/>
      <c r="AG208" s="6"/>
      <c r="AH208" s="6"/>
    </row>
    <row r="209" spans="1:34" ht="15.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6"/>
      <c r="AG209" s="6"/>
      <c r="AH209" s="6"/>
    </row>
    <row r="210" spans="1:34" ht="15.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6"/>
      <c r="AG210" s="6"/>
      <c r="AH210" s="6"/>
    </row>
    <row r="211" spans="1:34" ht="15.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6"/>
      <c r="AG211" s="6"/>
      <c r="AH211" s="6"/>
    </row>
    <row r="212" spans="1:34" ht="15.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6"/>
      <c r="AG212" s="6"/>
      <c r="AH212" s="6"/>
    </row>
    <row r="213" spans="1:34" ht="15.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6"/>
      <c r="AG213" s="6"/>
      <c r="AH213" s="6"/>
    </row>
    <row r="214" spans="1:34" ht="15.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6"/>
      <c r="AG214" s="6"/>
      <c r="AH214" s="6"/>
    </row>
    <row r="215" spans="1:34" ht="15.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6"/>
      <c r="AG215" s="6"/>
      <c r="AH215" s="6"/>
    </row>
    <row r="216" spans="1:34" ht="15.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6"/>
      <c r="AG216" s="6"/>
      <c r="AH216" s="6"/>
    </row>
    <row r="217" spans="1:34" ht="15.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6"/>
      <c r="AG217" s="6"/>
      <c r="AH217" s="6"/>
    </row>
    <row r="218" spans="1:34" ht="15.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6"/>
      <c r="AG218" s="6"/>
      <c r="AH218" s="6"/>
    </row>
    <row r="219" spans="1:34" ht="15.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6"/>
      <c r="AG219" s="6"/>
      <c r="AH219" s="6"/>
    </row>
    <row r="220" spans="1:34" ht="15.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6"/>
      <c r="AG220" s="6"/>
      <c r="AH220" s="6"/>
    </row>
    <row r="221" spans="1:34" ht="15.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row>
    <row r="222" spans="1:34" ht="15.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row>
    <row r="223" spans="1:34" ht="15.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row>
    <row r="224" spans="1:34" ht="15.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row>
    <row r="225" spans="1:34" ht="15.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row>
    <row r="226" spans="1:34" ht="15.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row>
    <row r="227" spans="1:34" ht="15.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row>
    <row r="228" spans="1:34" ht="15.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row>
    <row r="229" spans="1:34" ht="15.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row>
    <row r="230" spans="1:34" ht="15.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row>
    <row r="231" spans="1:34" ht="15.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row>
    <row r="232" spans="1:34" ht="15.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row>
    <row r="233" spans="1:34" ht="15.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row>
    <row r="234" spans="1:34" ht="15.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row>
    <row r="235" spans="1:34" ht="15.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row>
    <row r="236" spans="1:34" ht="15.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row>
    <row r="237" spans="1:34" ht="15.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row>
    <row r="238" spans="1:34" ht="15.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row>
    <row r="239" spans="1:34" ht="15.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row>
    <row r="240" spans="1:34" ht="15.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row>
    <row r="241" spans="1:34" ht="15.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row>
    <row r="242" spans="1:34" ht="15.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row>
    <row r="243" spans="1:34" ht="15.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row>
    <row r="244" spans="1:34" ht="15.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row>
    <row r="245" spans="1:34" ht="15.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row>
    <row r="246" spans="1:34" ht="15.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row>
    <row r="247" spans="1:34" ht="15.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row>
    <row r="248" spans="1:34" ht="15.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row>
    <row r="249" spans="1:34" ht="15.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row>
    <row r="250" spans="1:34" ht="15.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row>
    <row r="251" spans="1:34" ht="15.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row>
    <row r="252" spans="1:34" ht="15.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row>
    <row r="253" spans="1:34" ht="15.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row>
    <row r="254" spans="1:34" ht="15.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row>
    <row r="255" spans="1:34" ht="15.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row>
    <row r="256" spans="1:34" ht="15.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row>
    <row r="257" spans="1:34" ht="15.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row>
    <row r="258" spans="1:34" ht="15.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row>
    <row r="259" spans="1:34" ht="15.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row>
    <row r="260" spans="1:34" ht="15.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row>
    <row r="261" spans="1:34" ht="15.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row>
    <row r="262" spans="1:34" ht="15.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row>
    <row r="263" spans="1:34" ht="15.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row>
    <row r="264" spans="1:34" ht="15.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row>
    <row r="265" spans="1:34" ht="15.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row>
    <row r="266" spans="1:34" ht="15.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row>
    <row r="267" spans="1:34" ht="15.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row>
    <row r="268" spans="1:34" ht="15.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row>
    <row r="269" spans="1:34" ht="15.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row>
    <row r="270" spans="1:34" ht="15.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row>
    <row r="271" spans="1:34" ht="15.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row>
    <row r="272" spans="1:34" ht="15.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row>
    <row r="273" spans="1:34" ht="15.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row>
    <row r="274" spans="1:34" ht="15.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row>
    <row r="275" spans="1:34" ht="15.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row>
    <row r="276" spans="1:34" ht="15.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row>
    <row r="277" spans="1:34" ht="15.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row>
    <row r="278" spans="1:34" ht="15.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row>
    <row r="279" spans="1:34" ht="15.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row>
    <row r="280" spans="1:34" ht="15.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row>
    <row r="281" spans="1:34" ht="15.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row>
    <row r="282" spans="1:34" ht="15.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row>
    <row r="283" spans="1:34" ht="15.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row>
    <row r="284" spans="1:34" ht="15.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row>
    <row r="285" spans="1:34" ht="15.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row>
    <row r="286" spans="1:34" ht="15.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row>
    <row r="287" spans="1:34" ht="15.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row>
    <row r="288" spans="1:34" ht="15.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row>
    <row r="289" spans="1:34" ht="15.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row>
    <row r="290" spans="1:34" ht="15.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row>
    <row r="291" spans="1:34" ht="15.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row>
    <row r="292" spans="1:34" ht="15.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row>
    <row r="293" spans="1:34" ht="15.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row>
    <row r="294" spans="1:34" ht="15.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row>
    <row r="295" spans="1:34" ht="15.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row>
    <row r="296" spans="1:34" ht="15.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row>
    <row r="297" spans="1:34" ht="15.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row>
    <row r="298" spans="1:34" ht="15.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row>
    <row r="299" spans="1:34" ht="15.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row>
    <row r="300" spans="1:34" ht="15.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row>
    <row r="301" spans="1:34" ht="15.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row>
    <row r="302" spans="1:34" ht="15.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row>
    <row r="303" spans="1:34" ht="15.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row>
    <row r="304" spans="1:34" ht="15.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row>
    <row r="305" spans="1:34" ht="15.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row>
    <row r="306" spans="1:34" ht="15.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row>
    <row r="307" spans="1:34" ht="15.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row>
    <row r="308" spans="1:34" ht="15.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row>
    <row r="309" spans="1:34" ht="15.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row>
    <row r="310" spans="1:34" ht="15.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row>
    <row r="311" spans="1:34" ht="15.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row>
    <row r="312" spans="1:34" ht="15.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row>
    <row r="313" spans="1:34" ht="15.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row>
    <row r="314" spans="1:34" ht="15.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row>
    <row r="315" spans="1:34" ht="15.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row>
    <row r="316" spans="1:34" ht="15.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row>
    <row r="317" spans="1:34" ht="15.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row>
    <row r="318" spans="1:34" ht="15.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row>
    <row r="319" spans="1:34" ht="15.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row>
    <row r="320" spans="1:34" ht="15.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row>
    <row r="321" spans="1:34" ht="15.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row>
    <row r="322" spans="1:34" ht="15.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row>
    <row r="323" spans="1:34" ht="15.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row>
    <row r="324" spans="1:34" ht="15.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row>
    <row r="325" spans="1:34" ht="15.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row>
    <row r="326" spans="1:34" ht="15.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row>
    <row r="327" spans="1:34" ht="15.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row>
    <row r="328" spans="1:34" ht="15.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row>
    <row r="329" spans="1:34" ht="15.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row>
    <row r="330" spans="1:34" ht="15.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row>
    <row r="331" spans="1:34" ht="15.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row>
    <row r="332" spans="1:34" ht="15.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row>
    <row r="333" spans="1:34" ht="15.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row>
    <row r="334" spans="1:34" ht="15.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row>
    <row r="335" spans="1:34" ht="15.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row>
    <row r="336" spans="1:34" ht="15.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row>
    <row r="337" spans="1:34" ht="15.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row>
    <row r="338" spans="1:34" ht="15.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row>
    <row r="339" spans="1:34" ht="15.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row>
    <row r="340" spans="1:34" ht="15.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row>
    <row r="341" spans="1:34" ht="15.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row>
    <row r="342" spans="1:34" ht="15.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row>
    <row r="343" spans="1:34" ht="15.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row>
    <row r="344" spans="1:34" ht="15.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row>
    <row r="345" spans="1:34" ht="15.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row>
    <row r="346" spans="1:34" ht="15.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row>
    <row r="347" spans="1:34" ht="15.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row>
    <row r="348" spans="1:34" ht="15.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row>
    <row r="349" spans="1:34" ht="15.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row>
    <row r="350" spans="1:34" ht="15.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row>
    <row r="351" spans="1:34" ht="15.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row>
    <row r="352" spans="1:34" ht="15.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row>
    <row r="353" spans="1:34" ht="15.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row>
    <row r="354" spans="1:34" ht="15.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row>
    <row r="355" spans="1:34" ht="15.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row>
    <row r="356" spans="1:34" ht="15.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row>
    <row r="357" spans="1:34" ht="15.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row>
    <row r="358" spans="1:34" ht="15.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row>
    <row r="359" spans="1:34" ht="15.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row>
    <row r="360" spans="1:34" ht="15.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row>
    <row r="361" spans="1:34" ht="15.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row>
    <row r="362" spans="1:34" ht="15.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row>
    <row r="363" spans="1:34" ht="15.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row>
    <row r="364" spans="1:34" ht="15.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row>
    <row r="365" spans="1:34" ht="15.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row>
    <row r="366" spans="1:34" ht="15.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row>
    <row r="367" spans="1:34" ht="15.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row>
    <row r="368" spans="1:34" ht="15.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row>
    <row r="369" spans="1:34" ht="15.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row>
    <row r="370" spans="1:34" ht="15.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row>
    <row r="371" spans="1:34" ht="15.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row>
    <row r="372" spans="1:34" ht="15.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row>
    <row r="373" spans="1:34" ht="15.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row>
    <row r="374" spans="1:34" ht="15.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row>
    <row r="375" spans="1:34" ht="15.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row>
    <row r="376" spans="1:34" ht="15.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row>
    <row r="377" spans="1:34" ht="15.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row>
    <row r="378" spans="1:34" ht="15.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row>
    <row r="379" spans="1:34" ht="15.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row>
    <row r="380" spans="1:34" ht="15.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row>
    <row r="381" spans="1:34" ht="15.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row>
    <row r="382" spans="1:34" ht="15.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row>
    <row r="383" spans="1:34" ht="15.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row>
    <row r="384" spans="1:34" ht="15.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row>
    <row r="385" spans="1:34" ht="15.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row>
    <row r="386" spans="1:34" ht="15.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row>
    <row r="387" spans="1:34" ht="15.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row>
    <row r="388" spans="1:34" ht="15.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row>
    <row r="389" spans="1:34" ht="15.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row>
    <row r="390" spans="1:34" ht="15.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row>
    <row r="391" spans="1:34" ht="15.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row>
    <row r="392" spans="1:34" ht="15.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row>
    <row r="393" spans="1:34" ht="15.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row>
    <row r="394" spans="1:34" ht="15.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row>
    <row r="395" spans="1:34" ht="15.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row>
    <row r="396" spans="1:34" ht="15.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row>
    <row r="397" spans="1:34" ht="15.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row>
    <row r="398" spans="1:34" ht="15.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row>
    <row r="399" spans="1:34" ht="15.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row>
    <row r="400" spans="1:34" ht="15.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row>
    <row r="401" spans="1:34" ht="15.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row>
    <row r="402" spans="1:34" ht="15.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row>
    <row r="403" spans="1:34" ht="15.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row>
    <row r="404" spans="1:34" ht="15.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row>
    <row r="405" spans="1:34" ht="15.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row>
    <row r="406" spans="1:34" ht="15.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row>
    <row r="407" spans="1:34" ht="15.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row>
    <row r="408" spans="1:34" ht="15.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row>
    <row r="409" spans="1:34" ht="15.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row>
    <row r="410" spans="1:34" ht="15.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row>
    <row r="411" spans="1:34" ht="15.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row>
    <row r="412" spans="1:34" ht="15.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row>
    <row r="413" spans="1:34" ht="15.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row>
    <row r="414" spans="1:34" ht="15.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row>
    <row r="415" spans="1:34" ht="15.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row>
    <row r="416" spans="1:34" ht="15.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row>
    <row r="417" spans="1:34" ht="15.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row>
    <row r="418" spans="1:34" ht="15.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row>
    <row r="419" spans="1:34" ht="15.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row>
    <row r="420" spans="1:34" ht="15.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row>
    <row r="421" spans="1:34" ht="15.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row>
    <row r="422" spans="1:34" ht="15.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row>
    <row r="423" spans="1:34" ht="15.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row>
    <row r="424" spans="1:34" ht="15.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row>
    <row r="425" spans="1:34" ht="15.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row>
    <row r="426" spans="1:34" ht="15.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row>
    <row r="427" spans="1:34" ht="15.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row>
    <row r="428" spans="1:34" ht="15.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row>
    <row r="429" spans="1:34" ht="15.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row>
    <row r="430" spans="1:34" ht="15.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row>
    <row r="431" spans="1:34" ht="15.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row>
    <row r="432" spans="1:34" ht="15.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row>
    <row r="433" spans="1:34" ht="15.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row>
    <row r="434" spans="1:34" ht="15.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row>
    <row r="435" spans="1:34" ht="15.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row>
    <row r="436" spans="1:34" ht="15.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row>
    <row r="437" spans="1:34" ht="15.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row>
    <row r="438" spans="1:34" ht="15.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row>
    <row r="439" spans="1:34" ht="15.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row>
    <row r="440" spans="1:34" ht="15.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row>
    <row r="441" spans="1:34" ht="15.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row>
    <row r="442" spans="1:34" ht="15.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row>
    <row r="443" spans="1:34" ht="15.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row>
    <row r="444" spans="1:34" ht="15.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row>
    <row r="445" spans="1:34" ht="15.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row>
    <row r="446" spans="1:34" ht="15.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row>
    <row r="447" spans="1:34" ht="15.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row>
    <row r="448" spans="1:34" ht="15.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row>
    <row r="449" spans="1:34" ht="15.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row>
    <row r="450" spans="1:34" ht="15.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row>
    <row r="451" spans="1:34" ht="15.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row>
    <row r="452" spans="1:34" ht="15.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row>
    <row r="453" spans="1:34" ht="15.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row>
    <row r="454" spans="1:34" ht="15.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row>
    <row r="455" spans="1:34" ht="15.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row>
    <row r="456" spans="1:34" ht="15.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row>
    <row r="457" spans="1:34" ht="15.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row>
    <row r="458" spans="1:34" ht="15.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row>
    <row r="459" spans="1:34" ht="15.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row>
    <row r="460" spans="1:34" ht="15.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row>
    <row r="461" spans="1:34" ht="15.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row>
    <row r="462" spans="1:34" ht="15.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row>
    <row r="463" spans="1:34" ht="15.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row>
    <row r="464" spans="1:34" ht="15.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row>
    <row r="465" spans="1:34" ht="15.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row>
    <row r="466" spans="1:34" ht="15.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row>
    <row r="467" spans="1:34" ht="15.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row>
    <row r="468" spans="1:34" ht="15.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row>
    <row r="469" spans="1:34" ht="15.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row>
    <row r="470" spans="1:34" ht="15.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row>
    <row r="471" spans="1:34" ht="15.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row>
    <row r="472" spans="1:34" ht="15.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row>
    <row r="473" spans="1:34" ht="15.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row>
    <row r="474" spans="1:34" ht="15.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row>
    <row r="475" spans="1:34" ht="15.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row>
    <row r="476" spans="1:34" ht="15.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row>
    <row r="477" spans="1:34" ht="15.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row>
    <row r="478" spans="1:34" ht="15.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row>
    <row r="479" spans="1:34" ht="15.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row>
    <row r="480" spans="1:34" ht="15.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row>
    <row r="481" spans="1:34" ht="15.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row>
    <row r="482" spans="1:34" ht="15.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row>
    <row r="483" spans="1:34" ht="15.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row>
    <row r="484" spans="1:34" ht="15.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row>
    <row r="485" spans="1:34" ht="15.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row>
    <row r="486" spans="1:34" ht="15.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row>
    <row r="487" spans="1:34" ht="15.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row>
    <row r="488" spans="1:34" ht="15.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row>
    <row r="489" spans="1:34" ht="15.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row>
    <row r="490" spans="1:34" ht="15.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row>
    <row r="491" spans="1:34" ht="15.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row>
    <row r="492" spans="1:34" ht="15.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row>
    <row r="493" spans="1:34" ht="15.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row>
    <row r="494" spans="1:34" ht="15.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row>
    <row r="495" spans="1:34" ht="15.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row>
    <row r="496" spans="1:34" ht="15.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row>
    <row r="497" spans="1:34" ht="15.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row>
    <row r="498" spans="1:34" ht="15.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row>
    <row r="499" spans="1:34" ht="15.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row>
    <row r="500" spans="1:34" ht="15.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row>
    <row r="501" spans="1:34" ht="15.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row>
    <row r="502" spans="1:34" ht="15.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row>
    <row r="503" spans="1:34" ht="15.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row>
    <row r="504" spans="1:34" ht="15.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row>
    <row r="505" spans="1:34" ht="15.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row>
    <row r="506" spans="1:34" ht="15.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row>
    <row r="507" spans="1:34" ht="15.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row>
    <row r="508" spans="1:34" ht="15.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row>
    <row r="509" spans="1:34" ht="15.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row>
    <row r="510" spans="1:34" ht="15.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row>
    <row r="511" spans="1:34" ht="15.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row>
    <row r="512" spans="1:34" ht="15.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row>
    <row r="513" spans="1:34" ht="15.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row>
    <row r="514" spans="1:34" ht="15.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row>
    <row r="515" spans="1:34" ht="15.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row>
    <row r="516" spans="1:34" ht="15.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row>
    <row r="517" spans="1:34" ht="15.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row>
    <row r="518" spans="1:34" ht="15.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row>
    <row r="519" spans="1:34" ht="15.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row>
    <row r="520" spans="1:34" ht="15.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row>
    <row r="521" spans="1:34" ht="15.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row>
    <row r="522" spans="1:34" ht="15.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row>
    <row r="523" spans="1:34" ht="15.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row>
    <row r="524" spans="1:34" ht="15.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row>
    <row r="525" spans="1:34" ht="15.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row>
    <row r="526" spans="1:34" ht="15.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row>
    <row r="527" spans="1:34" ht="15.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row>
    <row r="528" spans="1:34" ht="15.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row>
    <row r="529" spans="1:34" ht="15.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row>
    <row r="530" spans="1:34" ht="15.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row>
    <row r="531" spans="1:34" ht="15.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row>
    <row r="532" spans="1:34" ht="15.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row>
    <row r="533" spans="1:34" ht="15.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row>
    <row r="534" spans="1:34" ht="15.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row>
    <row r="535" spans="1:34" ht="15.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row>
    <row r="536" spans="1:34" ht="15.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row>
    <row r="537" spans="1:34" ht="15.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row>
    <row r="538" spans="1:34" ht="15.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row>
    <row r="539" spans="1:34" ht="15.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row>
    <row r="540" spans="1:34" ht="15.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row>
    <row r="541" spans="1:34" ht="15.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row>
    <row r="542" spans="1:34" ht="15.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row>
    <row r="543" spans="1:34" ht="15.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row>
    <row r="544" spans="1:34" ht="15.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row>
    <row r="545" spans="1:34" ht="15.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row>
    <row r="546" spans="1:34" ht="15.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row>
    <row r="547" spans="1:34" ht="15.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row>
    <row r="548" spans="1:34" ht="15.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row>
    <row r="549" spans="1:34" ht="15.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row>
    <row r="550" spans="1:34" ht="15.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row>
    <row r="551" spans="1:34" ht="15.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row>
    <row r="552" spans="1:34" ht="15.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row>
    <row r="553" spans="1:34" ht="15.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row>
    <row r="554" spans="1:34" ht="15.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row>
    <row r="555" spans="1:34" ht="15.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row>
    <row r="556" spans="1:34" ht="15.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row>
    <row r="557" spans="1:34" ht="15.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row>
    <row r="558" spans="1:34" ht="15.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row>
    <row r="559" spans="1:34" ht="15.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row>
    <row r="560" spans="1:34" ht="15.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row>
    <row r="561" spans="1:34" ht="15.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row>
    <row r="562" spans="1:34" ht="15.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row>
    <row r="563" spans="1:34" ht="15.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row>
    <row r="564" spans="1:34" ht="15.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row>
    <row r="565" spans="1:34" ht="15.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row>
    <row r="566" spans="1:34" ht="15.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row>
    <row r="567" spans="1:34" ht="15.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row>
    <row r="568" spans="1:34" ht="15.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row>
    <row r="569" spans="1:34" ht="15.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row>
    <row r="570" spans="1:34" ht="15.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row>
    <row r="571" spans="1:34" ht="15.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row>
    <row r="572" spans="1:34" ht="15.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row>
    <row r="573" spans="1:34" ht="15.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row>
    <row r="574" spans="1:34" ht="15.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row>
    <row r="575" spans="1:34" ht="15.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row>
    <row r="576" spans="1:34" ht="15.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row>
    <row r="577" spans="1:34" ht="15.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row>
    <row r="578" spans="1:34" ht="15.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row>
    <row r="579" spans="1:34" ht="15.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row>
    <row r="580" spans="1:34" ht="15.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row>
    <row r="581" spans="1:34" ht="15.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row>
    <row r="582" spans="1:34" ht="15.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row>
    <row r="583" spans="1:34" ht="15.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row>
    <row r="584" spans="1:34" ht="15.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row>
    <row r="585" spans="1:34" ht="15.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row>
    <row r="586" spans="1:34" ht="15.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row>
    <row r="587" spans="1:34" ht="15.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row>
    <row r="588" spans="1:34" ht="15.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row>
    <row r="589" spans="1:34" ht="15.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row>
    <row r="590" spans="1:34" ht="15.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row>
    <row r="591" spans="1:34" ht="15.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row>
    <row r="592" spans="1:34" ht="15.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row>
    <row r="593" spans="1:34" ht="15.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row>
    <row r="594" spans="1:34" ht="15.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row>
    <row r="595" spans="1:34" ht="15.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row>
    <row r="596" spans="1:34" ht="15.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row>
    <row r="597" spans="1:34" ht="15.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row>
    <row r="598" spans="1:34" ht="15.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row>
    <row r="599" spans="1:34" ht="15.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row>
    <row r="600" spans="1:34" ht="15.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row>
    <row r="601" spans="1:34" ht="15.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row>
    <row r="602" spans="1:34" ht="15.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row>
    <row r="603" spans="1:34" ht="15.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row>
    <row r="604" spans="1:34" ht="15.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row>
    <row r="605" spans="1:34" ht="15.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row>
    <row r="606" spans="1:34" ht="15.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row>
    <row r="607" spans="1:34" ht="15.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row>
    <row r="608" spans="1:34" ht="15.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row>
    <row r="609" spans="1:34" ht="15.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row>
    <row r="610" spans="1:34" ht="15.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row>
    <row r="611" spans="1:34" ht="15.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row>
    <row r="612" spans="1:34" ht="15.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row>
    <row r="613" spans="1:34" ht="15.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row>
    <row r="614" spans="1:34" ht="15.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row>
    <row r="615" spans="1:34" ht="15.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row>
    <row r="616" spans="1:34" ht="15.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row>
    <row r="617" spans="1:34" ht="15.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row>
    <row r="618" spans="1:34" ht="15.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row>
    <row r="619" spans="1:34" ht="15.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row>
    <row r="620" spans="1:34" ht="15.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row>
    <row r="621" spans="1:34" ht="15.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row>
    <row r="622" spans="1:34" ht="15.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row>
    <row r="623" spans="1:34" ht="15.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row>
    <row r="624" spans="1:34" ht="15.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row>
    <row r="625" spans="1:34" ht="15.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row>
    <row r="626" spans="1:34" ht="15.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row>
    <row r="627" spans="1:34" ht="15.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row>
    <row r="628" spans="1:34" ht="15.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row>
    <row r="629" spans="1:34" ht="15.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row>
    <row r="630" spans="1:34" ht="15.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row>
    <row r="631" spans="1:34" ht="15.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row>
    <row r="632" spans="1:34" ht="15.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row>
    <row r="633" spans="1:34" ht="15.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row>
    <row r="634" spans="1:34" ht="15.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row>
    <row r="635" spans="1:34" ht="15.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row>
    <row r="636" spans="1:34" ht="15.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row>
    <row r="637" spans="1:34" ht="15.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row>
    <row r="638" spans="1:34" ht="15.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row>
    <row r="639" spans="1:34" ht="15.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row>
    <row r="640" spans="1:34" ht="15.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row>
    <row r="641" spans="1:34" ht="15.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row>
    <row r="642" spans="1:34" ht="15.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row>
    <row r="643" spans="1:34" ht="15.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row>
    <row r="644" spans="1:34" ht="15.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row>
    <row r="645" spans="1:34" ht="15.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row>
    <row r="646" spans="1:34" ht="15.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row>
    <row r="647" spans="1:34" ht="15.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row>
    <row r="648" spans="1:34" ht="15.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row>
    <row r="649" spans="1:34" ht="15.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row>
    <row r="650" spans="1:34" ht="15.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row>
    <row r="651" spans="1:34" ht="15.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row>
    <row r="652" spans="1:34" ht="15.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row>
    <row r="653" spans="1:34" ht="15.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row>
    <row r="654" spans="1:34" ht="15.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row>
    <row r="655" spans="1:34" ht="15.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row>
    <row r="656" spans="1:34" ht="15.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row>
    <row r="657" spans="1:34" ht="15.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row>
    <row r="658" spans="1:34" ht="15.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row>
    <row r="659" spans="1:34" ht="15.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row>
    <row r="660" spans="1:34" ht="15.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row>
    <row r="661" spans="1:34" ht="15.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row>
    <row r="662" spans="1:34" ht="15.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row>
    <row r="663" spans="1:34" ht="15.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row>
    <row r="664" spans="1:34" ht="15.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row>
    <row r="665" spans="1:34" ht="15.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row>
    <row r="666" spans="1:34" ht="15.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row>
    <row r="667" spans="1:34" ht="15.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row>
    <row r="668" spans="1:34" ht="15.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row>
    <row r="669" spans="1:34" ht="15.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row>
    <row r="670" spans="1:34" ht="15.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row>
    <row r="671" spans="1:34" ht="15.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row>
    <row r="672" spans="1:34" ht="15.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row>
    <row r="673" spans="1:34" ht="15.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row>
    <row r="674" spans="1:34" ht="15.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row>
    <row r="675" spans="1:34" ht="15.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row>
    <row r="676" spans="1:34" ht="15.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row>
    <row r="677" spans="1:34" ht="15.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row>
    <row r="678" spans="1:34" ht="15.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row>
    <row r="679" spans="1:34" ht="15.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row>
    <row r="680" spans="1:34" ht="15.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row>
    <row r="681" spans="1:34" ht="15.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row>
    <row r="682" spans="1:34" ht="15.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row>
    <row r="683" spans="1:34" ht="15.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row>
    <row r="684" spans="1:34" ht="15.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row>
    <row r="685" spans="1:34" ht="15.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row>
    <row r="686" spans="1:34" ht="15.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row>
    <row r="687" spans="1:34" ht="15.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row>
    <row r="688" spans="1:34" ht="15.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row>
    <row r="689" spans="1:34" ht="15.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row>
    <row r="690" spans="1:34" ht="15.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row>
    <row r="691" spans="1:34" ht="15.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row>
    <row r="692" spans="1:34" ht="15.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row>
    <row r="693" spans="1:34" ht="15.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row>
    <row r="694" spans="1:34" ht="15.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row>
    <row r="695" spans="1:34" ht="15.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row>
    <row r="696" spans="1:34" ht="15.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row>
    <row r="697" spans="1:34" ht="15.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row>
    <row r="698" spans="1:34" ht="15.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row>
    <row r="699" spans="1:34" ht="15.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row>
    <row r="700" spans="1:34" ht="15.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row>
    <row r="701" spans="1:34" ht="15.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row>
    <row r="702" spans="1:34" ht="15.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row>
    <row r="703" spans="1:34" ht="15.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row>
    <row r="704" spans="1:34" ht="15.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row>
    <row r="705" spans="1:34" ht="15.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row>
    <row r="706" spans="1:34" ht="15.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row>
    <row r="707" spans="1:34" ht="15.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row>
    <row r="708" spans="1:34" ht="15.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row>
    <row r="709" spans="1:34" ht="15.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row>
    <row r="710" spans="1:34" ht="15.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row>
    <row r="711" spans="1:34" ht="15.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row>
    <row r="712" spans="1:34" ht="15.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row>
    <row r="713" spans="1:34" ht="15.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row>
    <row r="714" spans="1:34" ht="15.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row>
    <row r="715" spans="1:34" ht="15.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row>
    <row r="716" spans="1:34" ht="15.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row>
    <row r="717" spans="1:34" ht="15.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row>
    <row r="718" spans="1:34" ht="15.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row>
    <row r="719" spans="1:34" ht="15.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row>
    <row r="720" spans="1:34" ht="15.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row>
    <row r="721" spans="1:34" ht="15.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row>
    <row r="722" spans="1:34" ht="15.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row>
    <row r="723" spans="1:34" ht="15.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row>
    <row r="724" spans="1:34" ht="15.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row>
    <row r="725" spans="1:34" ht="15.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row>
    <row r="726" spans="1:34" ht="15.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row>
    <row r="727" spans="1:34" ht="15.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row>
    <row r="728" spans="1:34" ht="15.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row>
    <row r="729" spans="1:34" ht="15.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row>
    <row r="730" spans="1:34" ht="15.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row>
    <row r="731" spans="1:34" ht="15.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row>
    <row r="732" spans="1:34" ht="15.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row>
    <row r="733" spans="1:34" ht="15.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row>
    <row r="734" spans="1:34" ht="15.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row>
    <row r="735" spans="1:34" ht="15.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row>
    <row r="736" spans="1:34" ht="15.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row>
    <row r="737" spans="1:34" ht="15.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row>
    <row r="738" spans="1:34" ht="15.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row>
    <row r="739" spans="1:34" ht="15.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row>
    <row r="740" spans="1:34" ht="15.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row>
    <row r="741" spans="1:34" ht="15.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row>
    <row r="742" spans="1:34" ht="15.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row>
    <row r="743" spans="1:34" ht="15.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row>
    <row r="744" spans="1:34" ht="15.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row>
    <row r="745" spans="1:34" ht="15.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row>
    <row r="746" spans="1:34" ht="15.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row>
    <row r="747" spans="1:34" ht="15.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row>
    <row r="748" spans="1:34" ht="15.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row>
    <row r="749" spans="1:34" ht="15.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row>
    <row r="750" spans="1:34" ht="15.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row>
    <row r="751" spans="1:34" ht="15.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row>
    <row r="752" spans="1:34" ht="15.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row>
    <row r="753" spans="1:34" ht="15.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row>
    <row r="754" spans="1:34" ht="15.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row>
    <row r="755" spans="1:34" ht="15.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row>
    <row r="756" spans="1:34" ht="15.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row>
    <row r="757" spans="1:34" ht="15.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row>
    <row r="758" spans="1:34" ht="15.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row>
    <row r="759" spans="1:34" ht="15.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row>
    <row r="760" spans="1:34" ht="15.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row>
    <row r="761" spans="1:34" ht="15.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row>
    <row r="762" spans="1:34" ht="15.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row>
    <row r="763" spans="1:34" ht="15.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row>
    <row r="764" spans="1:34" ht="15.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row>
    <row r="765" spans="1:34" ht="15.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row>
    <row r="766" spans="1:34" ht="15.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row>
    <row r="767" spans="1:34" ht="15.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row>
    <row r="768" spans="1:34" ht="15.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row>
    <row r="769" spans="1:34" ht="15.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row>
    <row r="770" spans="1:34" ht="15.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row>
    <row r="771" spans="1:34" ht="15.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row>
    <row r="772" spans="1:34" ht="15.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row>
    <row r="773" spans="1:34" ht="15.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row>
    <row r="774" spans="1:34" ht="15.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row>
    <row r="775" spans="1:34" ht="15.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row>
    <row r="776" spans="1:34" ht="15.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row>
    <row r="777" spans="1:34" ht="15.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row>
    <row r="778" spans="1:34" ht="15.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row>
    <row r="779" spans="1:34" ht="15.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row>
    <row r="780" spans="1:34" ht="15.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row>
    <row r="781" spans="1:34" ht="15.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row>
    <row r="782" spans="1:34" ht="15.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row>
    <row r="783" spans="1:34" ht="15.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row>
    <row r="784" spans="1:34" ht="15.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row>
    <row r="785" spans="1:34" ht="15.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row>
    <row r="786" spans="1:34" ht="15.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row>
    <row r="787" spans="1:34" ht="15.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row>
    <row r="788" spans="1:34" ht="15.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row>
    <row r="789" spans="1:34" ht="15.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row>
    <row r="790" spans="1:34" ht="15.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row>
    <row r="791" spans="1:34" ht="15.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row>
    <row r="792" spans="1:34" ht="15.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row>
    <row r="793" spans="1:34" ht="15.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row>
    <row r="794" spans="1:34" ht="15.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row>
    <row r="795" spans="1:34" ht="15.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row>
    <row r="796" spans="1:34" ht="15.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row>
    <row r="797" spans="1:34" ht="15.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row>
    <row r="798" spans="1:34" ht="15.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row>
    <row r="799" spans="1:34" ht="15.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row>
    <row r="800" spans="1:34" ht="15.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row>
    <row r="801" spans="1:34" ht="15.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row>
    <row r="802" spans="1:34" ht="15.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row>
    <row r="803" spans="1:34" ht="15.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row>
    <row r="804" spans="1:34" ht="15.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row>
    <row r="805" spans="1:34" ht="15.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row>
    <row r="806" spans="1:34" ht="15.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row>
    <row r="807" spans="1:34" ht="15.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row>
    <row r="808" spans="1:34" ht="15.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row>
    <row r="809" spans="1:34" ht="15.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row>
    <row r="810" spans="1:34" ht="15.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row>
    <row r="811" spans="1:34" ht="15.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row>
    <row r="812" spans="1:34" ht="15.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row>
    <row r="813" spans="1:34" ht="15.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row>
    <row r="814" spans="1:34" ht="15.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row>
    <row r="815" spans="1:34" ht="15.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row>
    <row r="816" spans="1:34" ht="15.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row>
    <row r="817" spans="1:34" ht="15.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row>
    <row r="818" spans="1:34" ht="15.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row>
    <row r="819" spans="1:34" ht="15.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row>
    <row r="820" spans="1:34" ht="15.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row>
    <row r="821" spans="1:34" ht="15.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row>
    <row r="822" spans="1:34" ht="15.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row>
    <row r="823" spans="1:34" ht="15.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row>
    <row r="824" spans="1:34" ht="15.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row>
    <row r="825" spans="1:34" ht="15.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row>
    <row r="826" spans="1:34" ht="15.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row>
    <row r="827" spans="1:34" ht="15.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row>
    <row r="828" spans="1:34" ht="15.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row>
    <row r="829" spans="1:34" ht="15.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row>
    <row r="830" spans="1:34" ht="15.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row>
    <row r="831" spans="1:34" ht="15.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row>
    <row r="832" spans="1:34" ht="15.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row>
    <row r="833" spans="1:34" ht="15.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row>
    <row r="834" spans="1:34" ht="15.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row>
    <row r="835" spans="1:34" ht="15.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row>
    <row r="836" spans="1:34" ht="15.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row>
    <row r="837" spans="1:34" ht="15.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row>
    <row r="838" spans="1:34" ht="15.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row>
    <row r="839" spans="1:34" ht="15.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row>
    <row r="840" spans="1:34" ht="15.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row>
    <row r="841" spans="1:34" ht="15.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row>
    <row r="842" spans="1:34" ht="15.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row>
    <row r="843" spans="1:34" ht="15.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row>
    <row r="844" spans="1:34" ht="15.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row>
    <row r="845" spans="1:34" ht="15.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row>
    <row r="846" spans="1:34" ht="15.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row>
    <row r="847" spans="1:34" ht="15.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row>
    <row r="848" spans="1:34" ht="15.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row>
    <row r="849" spans="1:34" ht="15.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row>
    <row r="850" spans="1:34" ht="15.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row>
    <row r="851" spans="1:34" ht="15.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row>
    <row r="852" spans="1:34" ht="15.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row>
    <row r="853" spans="1:34" ht="15.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row>
    <row r="854" spans="1:34" ht="15.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row>
    <row r="855" spans="1:34" ht="15.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row>
    <row r="856" spans="1:34" ht="15.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row>
    <row r="857" spans="1:34" ht="15.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row>
    <row r="858" spans="1:34" ht="15.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row>
    <row r="859" spans="1:34" ht="15.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row>
    <row r="860" spans="1:34" ht="15.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row>
    <row r="861" spans="1:34" ht="15.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row>
    <row r="862" spans="1:34" ht="15.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row>
    <row r="863" spans="1:34" ht="15.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row>
    <row r="864" spans="1:34" ht="15.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row>
    <row r="865" spans="1:34" ht="15.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row>
    <row r="866" spans="1:34" ht="15.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row>
    <row r="867" spans="1:34" ht="15.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row>
    <row r="868" spans="1:34" ht="15.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row>
    <row r="869" spans="1:34" ht="15.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row>
    <row r="870" spans="1:34" ht="15.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row>
    <row r="871" spans="1:34" ht="15.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row>
    <row r="872" spans="1:34" ht="15.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row>
    <row r="873" spans="1:34" ht="15.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row>
    <row r="874" spans="1:34" ht="15.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row>
    <row r="875" spans="1:34" ht="15.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row>
    <row r="876" spans="1:34" ht="15.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row>
    <row r="877" spans="1:34" ht="15.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row>
    <row r="878" spans="1:34" ht="15.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row>
    <row r="879" spans="1:34" ht="15.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row>
    <row r="880" spans="1:34" ht="15.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row>
    <row r="881" spans="1:34" ht="15.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row>
    <row r="882" spans="1:34" ht="15.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row>
    <row r="883" spans="1:34" ht="15.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row>
    <row r="884" spans="1:34" ht="15.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row>
    <row r="885" spans="1:34" ht="15.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row>
    <row r="886" spans="1:34" ht="15.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row>
    <row r="887" spans="1:34" ht="15.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row>
    <row r="888" spans="1:34" ht="15.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row>
    <row r="889" spans="1:34" ht="15.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row>
    <row r="890" spans="1:34" ht="15.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row>
    <row r="891" spans="1:34" ht="15.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row>
    <row r="892" spans="1:34" ht="15.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row>
    <row r="893" spans="1:34" ht="15.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row>
    <row r="894" spans="1:34" ht="15.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row>
    <row r="895" spans="1:34" ht="15.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row>
    <row r="896" spans="1:34" ht="15.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row>
    <row r="897" spans="1:34" ht="15.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row>
    <row r="898" spans="1:34" ht="15.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row>
    <row r="899" spans="1:34" ht="15.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row>
    <row r="900" spans="1:34" ht="15.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row>
    <row r="901" spans="1:34" ht="15.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row>
    <row r="902" spans="1:34" ht="15.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row>
    <row r="903" spans="1:34" ht="15.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row>
    <row r="904" spans="1:34" ht="15.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row>
    <row r="905" spans="1:34" ht="15.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row>
    <row r="906" spans="1:34" ht="15.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row>
    <row r="907" spans="1:34" ht="15.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row>
    <row r="908" spans="1:34" ht="15.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row>
    <row r="909" spans="1:34" ht="15.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row>
    <row r="910" spans="1:34" ht="15.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row>
    <row r="911" spans="1:34" ht="15.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row>
    <row r="912" spans="1:34" ht="15.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row>
    <row r="913" spans="1:34" ht="15.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row>
    <row r="914" spans="1:34" ht="15.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row>
    <row r="915" spans="1:34" ht="15.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row>
    <row r="916" spans="1:34" ht="15.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row>
    <row r="917" spans="1:34" ht="15.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row>
    <row r="918" spans="1:34" ht="15.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row>
    <row r="919" spans="1:34" ht="15.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row>
    <row r="920" spans="1:34" ht="15.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row>
    <row r="921" spans="1:34" ht="15.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row>
    <row r="922" spans="1:34" ht="15.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row>
    <row r="923" spans="1:34" ht="15.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row>
    <row r="924" spans="1:34" ht="15.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row>
    <row r="925" spans="1:34" ht="15.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row>
    <row r="926" spans="1:34" ht="15.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row>
    <row r="927" spans="1:34" ht="15.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row>
    <row r="928" spans="1:34" ht="15.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row>
    <row r="929" spans="1:34" ht="15.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row>
    <row r="930" spans="1:34" ht="15.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row>
    <row r="931" spans="1:34" ht="15.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row>
    <row r="932" spans="1:34" ht="15.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row>
    <row r="933" spans="1:34" ht="15.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row>
    <row r="934" spans="1:34" ht="15.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row>
    <row r="935" spans="1:34" ht="15.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row>
    <row r="936" spans="1:34" ht="15.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row>
    <row r="937" spans="1:34" ht="15.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row>
    <row r="938" spans="1:34" ht="15.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row>
    <row r="939" spans="1:34" ht="15.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row>
    <row r="940" spans="1:34" ht="15.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row>
    <row r="941" spans="1:34" ht="15.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row>
    <row r="942" spans="1:34" ht="15.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row>
    <row r="943" spans="1:34" ht="15.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row>
    <row r="944" spans="1:34" ht="15.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row>
    <row r="945" spans="1:34" ht="15.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row>
    <row r="946" spans="1:34" ht="15.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row>
    <row r="947" spans="1:34" ht="15.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row>
    <row r="948" spans="1:34" ht="15.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row>
    <row r="949" spans="1:34" ht="15.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row>
    <row r="950" spans="1:34" ht="15.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row>
    <row r="951" spans="1:34" ht="15.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row>
    <row r="952" spans="1:34" ht="15.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row>
    <row r="953" spans="1:34" ht="15.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row>
    <row r="954" spans="1:34" ht="15.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row>
    <row r="955" spans="1:34" ht="15.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row>
    <row r="956" spans="1:34" ht="15.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row>
    <row r="957" spans="1:34" ht="15.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row>
    <row r="958" spans="1:34" ht="15.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row>
    <row r="959" spans="1:34" ht="15.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row>
    <row r="960" spans="1:34" ht="15.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row>
    <row r="961" spans="1:34" ht="15.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row>
    <row r="962" spans="1:34" ht="15.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row>
    <row r="963" spans="1:34" ht="15.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row>
    <row r="964" spans="1:34" ht="15.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row>
    <row r="965" spans="1:34" ht="15.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row>
    <row r="966" spans="1:34" ht="15.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row>
    <row r="967" spans="1:34" ht="15.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row>
    <row r="968" spans="1:34" ht="15.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row>
    <row r="969" spans="1:34" ht="15.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row>
    <row r="970" spans="1:34" ht="15.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row>
    <row r="971" spans="1:34" ht="15.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row>
    <row r="972" spans="1:34" ht="15.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row>
    <row r="973" spans="1:34" ht="15.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row>
    <row r="974" spans="1:34" ht="15.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row>
    <row r="975" spans="1:34" ht="15.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row>
    <row r="976" spans="1:34" ht="15.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row>
    <row r="977" spans="1:34" ht="15.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row>
    <row r="978" spans="1:34" ht="15.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row>
    <row r="979" spans="1:34" ht="15.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row>
    <row r="980" spans="1:34" ht="15.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row>
    <row r="981" spans="1:34" ht="15.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row>
    <row r="982" spans="1:34" ht="15.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row>
    <row r="983" spans="1:34" ht="15.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row>
    <row r="984" spans="1:34" ht="15.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row>
    <row r="985" spans="1:34" ht="15.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row>
    <row r="986" spans="1:34" ht="15.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row>
    <row r="987" spans="1:34" ht="15.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row>
    <row r="988" spans="1:34" ht="15.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row>
    <row r="989" spans="1:34" ht="15.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row>
    <row r="990" spans="1:34" ht="15.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row>
    <row r="991" spans="1:34" ht="15.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row>
    <row r="992" spans="1:34" ht="15.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row>
    <row r="993" spans="1:34" ht="15.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row>
    <row r="994" spans="1:34" ht="15.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row>
    <row r="995" spans="1:34" ht="15.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row>
    <row r="996" spans="1:34" ht="15.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row>
    <row r="997" spans="1:34" ht="15.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row>
    <row r="998" spans="1:34" ht="15.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row>
    <row r="999" spans="1:34" ht="15.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row>
    <row r="1000" spans="1:34" ht="15.75"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row>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Annika</cp:lastModifiedBy>
  <dcterms:modified xsi:type="dcterms:W3CDTF">2023-08-07T13:20:31Z</dcterms:modified>
</cp:coreProperties>
</file>