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C:\Users\Annika\Documents\01_STUDIUM\BACHELORTHESIS\Testpaper IGT\"/>
    </mc:Choice>
  </mc:AlternateContent>
  <xr:revisionPtr revIDLastSave="0" documentId="13_ncr:1_{26E8226A-F585-4CD3-9A71-02B44448B359}" xr6:coauthVersionLast="47" xr6:coauthVersionMax="47" xr10:uidLastSave="{00000000-0000-0000-0000-000000000000}"/>
  <bookViews>
    <workbookView xWindow="-120" yWindow="-120" windowWidth="20730" windowHeight="11160" xr2:uid="{00000000-000D-0000-FFFF-FFFF00000000}"/>
  </bookViews>
  <sheets>
    <sheet name="Sheet1"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5" l="1"/>
  <c r="AM28" i="5"/>
  <c r="E32" i="5"/>
  <c r="E31" i="5"/>
  <c r="E30" i="5"/>
  <c r="E29" i="5"/>
</calcChain>
</file>

<file path=xl/sharedStrings.xml><?xml version="1.0" encoding="utf-8"?>
<sst xmlns="http://schemas.openxmlformats.org/spreadsheetml/2006/main" count="1710" uniqueCount="267">
  <si>
    <t>strategy_id</t>
  </si>
  <si>
    <t>description</t>
  </si>
  <si>
    <t>article_id</t>
  </si>
  <si>
    <t>strategy_count</t>
  </si>
  <si>
    <t>subset</t>
  </si>
  <si>
    <t>n_trials</t>
  </si>
  <si>
    <t>scoring_approach</t>
  </si>
  <si>
    <t>description of unique scoring strategy</t>
  </si>
  <si>
    <t>total number of trials in the task (used to calculate proportions in previous two columns)</t>
  </si>
  <si>
    <t>strategy within each article
NB one row = one strategy. Each article can have multiple rows.</t>
  </si>
  <si>
    <t>was something unclear, need discussion, etc?</t>
  </si>
  <si>
    <t>Whether the score is calculated for the whole task or within blocks of trials
e.g., 
- "all" = all trials used, one score
- "blocks" = all trials used, calculating different scores for blocks of trials
- "subset" = only some trials used
- "indeterminable"
- "not applicable"</t>
  </si>
  <si>
    <t>n_blocks</t>
  </si>
  <si>
    <t>number of bocks, if scored by blocks
e.g., 
- "5" (100 trials total, 20 per block)
- "indeterminable"
- "not applicable"</t>
  </si>
  <si>
    <t>not applicable</t>
  </si>
  <si>
    <t>used if scoring_approach == "deck selections"
Mathematical operation that is used to build the score (if applicable)
e.g., 
- (C+D)-(A+B)
- "indeterminable"
- "not applicable"</t>
  </si>
  <si>
    <t>used if scoring_approach == "money"
scoring method for money
e.g., 
- "total money won"
- "total money lost"
- "total money at end of task, including money won - money lost"
- "count of trials on which money was won"
- "indeterminable"
- "not applicable"</t>
  </si>
  <si>
    <t>incremental id assigned to unique scoring strategies across articles
strategies with indeterminate elements are to be recorded as unique (i.e., this variable only reuses values if the strategies are knowably identical)</t>
  </si>
  <si>
    <t>deck_selection_formula</t>
  </si>
  <si>
    <t>money_formula</t>
  </si>
  <si>
    <t>post_loss_formula</t>
  </si>
  <si>
    <t>general variable used for scoring.
e.g.,
- "deck selections" - number/percent/proportion of selections from given decks (A,B,C,D)
- "money" - total money won, lost, count of trials on which money was won, lost, etc.
- "post loss  behavior" - choices made after a loss, eg post loss deck switching, or post loss selections from a given deck
- "indeterminable"
- "not applicable"</t>
  </si>
  <si>
    <t>used if scoring_approach == "post loss behavior"
scoring method for money
e.g., 
- "deck switching after a loss (true/false)"
- "card selections from deck A which immediately followed a loss on that deck"
- "indeterminable"
- "not applicable"</t>
  </si>
  <si>
    <t>subset_proportion_early</t>
  </si>
  <si>
    <t>subset_proportion_late</t>
  </si>
  <si>
    <t>indeterminable</t>
  </si>
  <si>
    <t>year</t>
  </si>
  <si>
    <t>year of publication</t>
  </si>
  <si>
    <t>numerical identifier for each publication</t>
  </si>
  <si>
    <t>001</t>
  </si>
  <si>
    <t>002</t>
  </si>
  <si>
    <t>003</t>
  </si>
  <si>
    <t>authors</t>
  </si>
  <si>
    <t>names of authors</t>
  </si>
  <si>
    <t>goal</t>
  </si>
  <si>
    <t>feedback</t>
  </si>
  <si>
    <t>starting_capital</t>
  </si>
  <si>
    <t>instructions</t>
  </si>
  <si>
    <t>reward_disadv</t>
  </si>
  <si>
    <t>reward_adv</t>
  </si>
  <si>
    <t>gain1</t>
  </si>
  <si>
    <t>gain2</t>
  </si>
  <si>
    <t>loss1</t>
  </si>
  <si>
    <t>loss2</t>
  </si>
  <si>
    <t>gain_int1</t>
  </si>
  <si>
    <t>gain_int2</t>
  </si>
  <si>
    <t>loss_int1</t>
  </si>
  <si>
    <t>loss_int2</t>
  </si>
  <si>
    <t>freq_adv1</t>
  </si>
  <si>
    <t>freq_adv2</t>
  </si>
  <si>
    <t>freq_disadv1</t>
  </si>
  <si>
    <t>freq_disadv2</t>
  </si>
  <si>
    <t>protocol</t>
  </si>
  <si>
    <t>order_number</t>
  </si>
  <si>
    <t>goal of the IGT as in the instructions for the participants 
e.g.,
- standard goal, i.e. maximize wins or similar
- deviating from standard goal
- indeterminable</t>
  </si>
  <si>
    <t>instructions given to the participants
e.g., 
- standard instructions
- deviating from standard instructions
- indeterminable</t>
  </si>
  <si>
    <t>feedback given to the participants during task
e.g., 
- standard feedback
- deviating from standard feedback
- indeterminable</t>
  </si>
  <si>
    <t>amount of starting capital
e.g.,
- $ 2000
- 2000 points
- indeterminable
- not applicable</t>
  </si>
  <si>
    <t>reward for choosing cards of disadvantageous decks (usually decks A and B)
e.g.,
- $100
- variable
- indeterminable
- not applicable</t>
  </si>
  <si>
    <t>reward for choosing cards of advantageous decks (usually decks C and D)
e.g.,
- $50
- variable
- indeterminable
- not applicable</t>
  </si>
  <si>
    <t>net gain of advantageous deck 1 (usually deck C) in a defined interval
e.g.,
- $1250
- variable
- indeterminable
- not applicable</t>
  </si>
  <si>
    <t>net gain of advantageous deck 2 (usually deck D) in a defined interval
e.g.,
- $1250
- variable
- indeterminable
- not applicable</t>
  </si>
  <si>
    <t>net loss of disadvantageous deck 1 (usually deck A) in a defined interval
e.g.,
- -$1250
- variable
- indeterminable
- not applicable</t>
  </si>
  <si>
    <t>net loss of disadvantageous deck 2 (usually deck B) in a defined interval
e.g.,
- -$1250
- variable
- indeterminable
- not applicable</t>
  </si>
  <si>
    <t>number of trials interval for net gain of advantageous deck 1 (usually deck C)
e.g.,
- 10
- variable
- indeterminable
- not applicable</t>
  </si>
  <si>
    <t>number of trials interval for net gain of advantageous deck 2 (usually deck D)
e.g.,
- 10
- variable
- indeterminable
- not applicable</t>
  </si>
  <si>
    <t>number of trials interval for net loss of disadvantageous deck 1 (usually deck A)
e.g.,
- 10
- variable
- indeterminable
- not applicable</t>
  </si>
  <si>
    <t>number of trials interval for net loss of disadvantageous deck 2 (usually deck B)
e.g.,
- 10
- variable
- indeterminable
- not applicable</t>
  </si>
  <si>
    <t>loss frequency in percent of advantageous deck 1 (usually deck C) in a defined interval
e.g.,
- 50%
- variable
- indeterminable
- not applicable</t>
  </si>
  <si>
    <t>loss frequency in percent of advantageous deck 2 (usually deck D) in a defined interval
e.g.,
- 50%
- variable
- indeterminable
- not applicable</t>
  </si>
  <si>
    <t>loss frequency in percent of disadvantageous deck 1 (usually deck A) in a defined interval
e.g.,
- 50%
- variable
- indeterminable
- not applicable</t>
  </si>
  <si>
    <t>loss frequency in percent of disadvantageous deck 2 (usually deck B) in a defined interval
e.g.,
- 50%
- variable
- indeterminable
- not applicable</t>
  </si>
  <si>
    <t xml:space="preserve">notes or relevant information on the IGT procedure that could not be caught by the defined variables </t>
  </si>
  <si>
    <t>order number of study as reported in the publication; choose always the last study in multi-study papers
e.g., 
- 2
- not applicable</t>
  </si>
  <si>
    <t>IGT protocol followed in the study
e.g.,
- standard protocol as in Bechara 1994
- protocol described in author (year)
- indeterminable</t>
  </si>
  <si>
    <t>standard goal</t>
  </si>
  <si>
    <t>standard instructions</t>
  </si>
  <si>
    <t>standard feedback</t>
  </si>
  <si>
    <t>deviating from standard goal</t>
  </si>
  <si>
    <t>deviating from standard instructions</t>
  </si>
  <si>
    <t>deviating from standard feedback</t>
  </si>
  <si>
    <t>$2000</t>
  </si>
  <si>
    <t>variable</t>
  </si>
  <si>
    <t>$50</t>
  </si>
  <si>
    <t>$100</t>
  </si>
  <si>
    <t>sample_size</t>
  </si>
  <si>
    <t>number of participants in the IGT study sample
e.g.,
- 115
- indeterminable</t>
  </si>
  <si>
    <t>notes_procedure</t>
  </si>
  <si>
    <t>notes_scoring</t>
  </si>
  <si>
    <t>Beck</t>
  </si>
  <si>
    <t>Byrne</t>
  </si>
  <si>
    <t>Case</t>
  </si>
  <si>
    <t>Flores-Torres</t>
  </si>
  <si>
    <t>Hartstra</t>
  </si>
  <si>
    <t>Linnet</t>
  </si>
  <si>
    <t>Meshi</t>
  </si>
  <si>
    <t>Nakanishi</t>
  </si>
  <si>
    <t>Schneider Bakos</t>
  </si>
  <si>
    <t>Smart</t>
  </si>
  <si>
    <t>Zhao</t>
  </si>
  <si>
    <t>004</t>
  </si>
  <si>
    <t>005</t>
  </si>
  <si>
    <t>006</t>
  </si>
  <si>
    <t>007</t>
  </si>
  <si>
    <t>008</t>
  </si>
  <si>
    <t>009</t>
  </si>
  <si>
    <t>010</t>
  </si>
  <si>
    <t>011</t>
  </si>
  <si>
    <t>2000 points</t>
  </si>
  <si>
    <t>500 points</t>
  </si>
  <si>
    <t>50 grams of cheese</t>
  </si>
  <si>
    <t>20 points</t>
  </si>
  <si>
    <t>100 grams of cheese</t>
  </si>
  <si>
    <t>40 points</t>
  </si>
  <si>
    <t>250 points</t>
  </si>
  <si>
    <t>-250 points</t>
  </si>
  <si>
    <t>Bechara 1994 standard protocol</t>
  </si>
  <si>
    <t>choice to play or pass a presented card from one of the decks instead of deck choices</t>
  </si>
  <si>
    <t>50 points</t>
  </si>
  <si>
    <t>$250</t>
  </si>
  <si>
    <t>-$250</t>
  </si>
  <si>
    <t>probabilites according to Bechara 2007 IGT manual</t>
  </si>
  <si>
    <t>two-deck variant</t>
  </si>
  <si>
    <t>low rule condition</t>
  </si>
  <si>
    <t>50</t>
  </si>
  <si>
    <t>100</t>
  </si>
  <si>
    <t>400</t>
  </si>
  <si>
    <t>-400</t>
  </si>
  <si>
    <t>2000 grams of cheese</t>
  </si>
  <si>
    <t xml:space="preserve">"mouse game"; numerical values similar to the IGT </t>
  </si>
  <si>
    <t>e.g., $50</t>
  </si>
  <si>
    <t>e.g., $100</t>
  </si>
  <si>
    <t>100 points</t>
  </si>
  <si>
    <t>-100 points</t>
  </si>
  <si>
    <t>$31,25</t>
  </si>
  <si>
    <t>-$62,5</t>
  </si>
  <si>
    <t>250 yuan</t>
  </si>
  <si>
    <t>-250 yuan</t>
  </si>
  <si>
    <t>calculated difference in block 1 from average of blocks 3-5</t>
  </si>
  <si>
    <t>number of cards chosen from advantageous decks minus number of cards chosen from disadvantageous decks (total of trials)</t>
  </si>
  <si>
    <t>number of cards chosen from advantageous decks minus number of cards chosen from disadvantageous decks (within blocks)</t>
  </si>
  <si>
    <t>deck selections</t>
  </si>
  <si>
    <t>(C+D)-(A+B)</t>
  </si>
  <si>
    <t>all</t>
  </si>
  <si>
    <t>blocks</t>
  </si>
  <si>
    <t>used if subset  == "subset"
Note that subsets must be recorded as proportions, not number of trials, as the number of trials varies between studies
Note that if all trials are used or no early-trial usage is mentioned, this should be recorded as "0"
e.g., 
- 0.2
- "indeterminable"
- "not applicable"</t>
  </si>
  <si>
    <t>used if subset  == "subset"
Note that subsets must be recorded as proportions, not number of trials, as the number of trials varies between studies
Note that if all trials are used or no late-trial usage is  mentioned, this should be recorded as "0"
e.g., 
- 0.5
- "indeterminable"
- "not applicable"</t>
  </si>
  <si>
    <t>last0.6*(((C+D)-(A+B))/3)-first0.2*((C+D)-(A+B))</t>
  </si>
  <si>
    <t>c01</t>
  </si>
  <si>
    <t>c02</t>
  </si>
  <si>
    <t>c03</t>
  </si>
  <si>
    <t>c04</t>
  </si>
  <si>
    <t>number of cards chosen from each deck (within blocks)</t>
  </si>
  <si>
    <t>C+D</t>
  </si>
  <si>
    <t xml:space="preserve">choices from advantageous decks </t>
  </si>
  <si>
    <t>advantageous chasing strategy: sequences of 5 good cards</t>
  </si>
  <si>
    <t>disadvantageous chasing strategy: sequences of 5 bad cards</t>
  </si>
  <si>
    <t>payoff structure adapted from Crone et al 2003</t>
  </si>
  <si>
    <t>post loss behavior</t>
  </si>
  <si>
    <t>number of trials without choices from deck B after loss</t>
  </si>
  <si>
    <t xml:space="preserve">unclear if deck B avoidance after loss on deck B or loss on any deck </t>
  </si>
  <si>
    <t>number of trials participants avoid deck B after loss of 500 points (after first loss)</t>
  </si>
  <si>
    <t>number of trials participants avoid deck B after loss of 500 points (average over all after loss intervals)</t>
  </si>
  <si>
    <t>number of deck shifts</t>
  </si>
  <si>
    <t>behavior</t>
  </si>
  <si>
    <t>probability of deck shifting after loss</t>
  </si>
  <si>
    <t>probability of deck shifting after no loss</t>
  </si>
  <si>
    <t>number of trials with decks shifting after no loss</t>
  </si>
  <si>
    <t>number of trials with decks shifting after loss</t>
  </si>
  <si>
    <t>number of cards chosen from advantageous decks minus number of cards chosen from disadvantageous decks (within first 40 trials)</t>
  </si>
  <si>
    <t>number of cards chosen from advantageous decks minus number of cards chosen from disadvantageous decks (within last 60 trials)</t>
  </si>
  <si>
    <t>number of trials without choices from deck B after loss (average)</t>
  </si>
  <si>
    <t>01</t>
  </si>
  <si>
    <t>Beck, Irene R.; Stinson, Emma J.; Thearle, Marie S.; Krakoff, Jonathan; Gluck, Marci E.</t>
  </si>
  <si>
    <t>deck selections (C+D)-(A+B) across all trials</t>
  </si>
  <si>
    <t>u</t>
  </si>
  <si>
    <t>deck selections (C+D)-(A+B) of first block compared "to the average of Blocks 3-5"
deck selections (C+D)-(A+B) of first block minus the mean deck selections (C+D)-(A+B) of Blocks 3-5</t>
  </si>
  <si>
    <t>scoring strategy descibed in Kang et al. was used
 (Kang et al., 2010; Matsuzawa, Shirayama, Niitsu, Hashimoto, &amp; Iyo, 2015)
Kang et al., 2010 was consulted.</t>
  </si>
  <si>
    <t>deck selections (C+D)-(A+B) for each block seperately</t>
  </si>
  <si>
    <t>"5" (100 trials total, 20 per block)</t>
  </si>
  <si>
    <t>02</t>
  </si>
  <si>
    <t>Byrne, Kaileigh A.; Worthy, Darrell A.</t>
  </si>
  <si>
    <t xml:space="preserve">100 points </t>
  </si>
  <si>
    <t xml:space="preserve">It is stated that Bechara  et al.'s (1994) procedure is followed.
However, the appendix, containting the exact instructions, differs from Bechara et al.
Imformations coded are taken from the appendix and the text.
</t>
  </si>
  <si>
    <t>u?</t>
  </si>
  <si>
    <t>proportion of deck selections for each deck and for each block seperately</t>
  </si>
  <si>
    <t>03</t>
  </si>
  <si>
    <t>Case, Julia A. C.; Olino, Thomas M.</t>
  </si>
  <si>
    <t>"Participants were presented with a card from one of four decks on the screen and were asked whether they wanted to “Play” or “Pass” on that card. If they selected to pass, they were presented with a card
from another deck; if they selected to play, participants won money, lost money, or had no monetary gain or loss for that trial."</t>
  </si>
  <si>
    <t>probabilities on plays of advantageous decks and plays on disadvantageous decks for each block</t>
  </si>
  <si>
    <t>"3" (120 trials total, 40 per block)</t>
  </si>
  <si>
    <t>I see that it makes a lot more sense to code to split this in two scores.
But because this seems to part of the larger issue regarding analysis strategies vs. scoring strategies, I decided to stay with my initial coding for now.</t>
  </si>
  <si>
    <t>probabilities on plays of advantageous decks and plays on disadvantageous decks across all trials</t>
  </si>
  <si>
    <t>see above</t>
  </si>
  <si>
    <t>changes in plays for advantageous and disadvantageous decks between the first and last (i.e., third) block</t>
  </si>
  <si>
    <t>"2" (80 trials total, 40 per block)</t>
  </si>
  <si>
    <t>04</t>
  </si>
  <si>
    <t>Flores-Torres, Jorge; Gómez-Pérez, Lydia; McRae, Kateri; López, Vladimir; Rubio, Ivan; Rodríguez, Eugenio</t>
  </si>
  <si>
    <t>2019</t>
  </si>
  <si>
    <t>Additional instructions:
 - "We emphasized to participants that positions and deck contingencies were fixed during the whole task ..."
- participants "are warned that some decks are worse than others in terms of total payment"
Participants watched a short video before every IGT-decision.</t>
  </si>
  <si>
    <t>advantageous deck  selections, by block</t>
  </si>
  <si>
    <t xml:space="preserve">number of choices of a block - (A+B) = (C+D)
</t>
  </si>
  <si>
    <t>05</t>
  </si>
  <si>
    <t>Hartstra, E.; Oldenburg, J. F. E.; van Leijenhorst, L.; Rombouts, S. A. R. B.; Crone, E. A.</t>
  </si>
  <si>
    <t>new protocol</t>
  </si>
  <si>
    <t>1) only two decks were presented (advantageous vs. disadvantageous)
2) A low-reward vs. high-reward condition was added. In the high-reward condition the higher-paying deck was also the advantageous one, in the low-reward condition the higher-paying deck was the disadvantageous deck
3)After each deck selection participants were asked
 to rate on a 3-point scale how certain they were that their choice led to the best result.
4) additional instruction: participants were notified in advance that in each block one of the decks would be more advantageous in terms of long-term profit</t>
  </si>
  <si>
    <t>mean percentage of advantageous choices accross all blocks for each trial seperately and for the low and high-reward condition seperately</t>
  </si>
  <si>
    <t xml:space="preserve">not applicable </t>
  </si>
  <si>
    <r>
      <t xml:space="preserve">Maybe, the codebook needs specification on how to deal with decks </t>
    </r>
    <r>
      <rPr>
        <sz val="11"/>
        <color theme="1"/>
        <rFont val="Calibri"/>
        <family val="2"/>
      </rPr>
      <t>≠ 4?</t>
    </r>
    <r>
      <rPr>
        <sz val="11"/>
        <color theme="1"/>
        <rFont val="Calibri"/>
        <family val="2"/>
        <scheme val="minor"/>
      </rPr>
      <t xml:space="preserve"> </t>
    </r>
  </si>
  <si>
    <t>total amount of points earned</t>
  </si>
  <si>
    <t>total points won</t>
  </si>
  <si>
    <t>cf. With AA35</t>
  </si>
  <si>
    <t>proportion of deck switches after loss or win on preceding trial</t>
  </si>
  <si>
    <t>deck switches</t>
  </si>
  <si>
    <t>06</t>
  </si>
  <si>
    <t>Linnet, Jakob; Røjskjaer, Steffen; Nygaard, Jørgen; Maher, Brendan A.</t>
  </si>
  <si>
    <t>the study used a modified version of the IGT, called the "Mouse Game", were participants play for gramms of cheese instead of money.
One big difference: "participants had the opportunity to play longer than the original 100 trials (to a total of 140 trials) and could double or half the amount of cheese in these situations"</t>
  </si>
  <si>
    <t>since participants had the opportunity to play longer than the 100 trials (see notes_procedure) the 100 trials that go into this score could technically not be all trials and thus this could be seen as a new strategy</t>
  </si>
  <si>
    <t xml:space="preserve">number of advantageous choice sequences, defined by drawing five consecutive times from advantageous decks </t>
  </si>
  <si>
    <t xml:space="preserve">number of disadvantageous choice sequences, defined by drawing five consecutive times from disadvantageous decks </t>
  </si>
  <si>
    <t>number of advantageous choice sequences minus number of disadvantageous choice sequences</t>
  </si>
  <si>
    <t>07</t>
  </si>
  <si>
    <t>Meshi, Dar; Elizarova, Anastassia; Bender, Andrew; Verdejo-Garcia, Antonio</t>
  </si>
  <si>
    <t xml:space="preserve">standard goal </t>
  </si>
  <si>
    <t>Additional instructions: "Participants are also informed that some decks are better than others and that ifthey want to do well, they should avoid the bad decks and choose cards from the good decks."</t>
  </si>
  <si>
    <t>08</t>
  </si>
  <si>
    <t>Nakanishi, Daisuke; Ohtsubo, Yohsuke</t>
  </si>
  <si>
    <t>The study used a modified version of the IGT, were participants, instead of drawing cards, made contracts with farms or farmers via clicking one of four buttons. Two conditions were contrasted: natural risk vs. social risk condition. In the former, rewards and losses were due to climate conditions, while in the latter, losses were due to "intentional loafing" of the farmer. 
Compensation for participating was partly dependend on the participant's cumulative score at the end of the game.</t>
  </si>
  <si>
    <t>Number of trials in which each participant avoided disadvantageous deck 2 (deck B) after being contronted with a loss (-500 points) for the first time.</t>
  </si>
  <si>
    <t>not sure whether "all" is correct for subset</t>
  </si>
  <si>
    <t>Average number of trials in which each participant avoided disadvantageous deck 2 (deck B) after being confronted with a loss (-500 points).</t>
  </si>
  <si>
    <t>09</t>
  </si>
  <si>
    <t>Bakos, Daniela Schneider; Denburg, Natalie; Fonseca, Rochele Paz; Parente, Maria Alice de Mattos Pimenta</t>
  </si>
  <si>
    <t>standard protocol</t>
  </si>
  <si>
    <t>IGT performance of Americans is compared to that of Brazilians.
"A computerized version of the IGT, developed by Bechara et al. (1994) and adapted to Brazilian Portuguese by Schneider and Parente (2006), was used to assess DM in the Brazilian sample. The American group was given the original task developed by Bechara et al. (1994). Both versions of the IGT are administered identically."</t>
  </si>
  <si>
    <t xml:space="preserve">IGT performance of Americans is compared to that of Brazilians.
For the American participants, it is stated that "the IGT was completed in its computerized version", though the version is not specified further. 
For the Brazilian participants, it is stated that an adaptation to Brazilian Portuguese by Schneider &amp; Parente (2006) was used. This publication, however, is itself in Brazilian Portuguese and, sadly, couldn't be consulted for any missing procedural information.
</t>
  </si>
  <si>
    <t>10</t>
  </si>
  <si>
    <t>Smart, Colette M.; Krawitz, Adam</t>
  </si>
  <si>
    <t>$40-$95</t>
  </si>
  <si>
    <t>$80-$170</t>
  </si>
  <si>
    <t>$31.25</t>
  </si>
  <si>
    <t>-$62.5</t>
  </si>
  <si>
    <t>It is stated that "the standardized, computerized, clinical
version of the IGT" is used, but not specified which one.</t>
  </si>
  <si>
    <t>cf.with AA22</t>
  </si>
  <si>
    <t>Probability of shifting to a different deck after a trial with or without a loss</t>
  </si>
  <si>
    <t>Again, the same issue regarding analysis strategy vs. scoring strategy
Analysis strategy is looking for a win-stay-loose-shift pattern. To calculate this, two scoring strategies are needed.</t>
  </si>
  <si>
    <t>Probability of choosing from each deck for each block seperately</t>
  </si>
  <si>
    <t>11</t>
  </si>
  <si>
    <t>Zhao, Hanxuan; Li, Yadan; Wang, Yifan; Wang, Xuewei; Kan, Yuecui; Yang, Ting; Hu, Weiping; Duan, Haijun</t>
  </si>
  <si>
    <t xml:space="preserve">The IGT was completed by groups of two, choosing cards together.
"Participants were informed that the amount of money they won would be related to the performance of the dyad, and the money earned on the task would be equally handed out to each member of the dyad." </t>
  </si>
  <si>
    <t>deck selections (C+D)-(A+B) for the first 40 and the last 60 trials seperately</t>
  </si>
  <si>
    <t>??</t>
  </si>
  <si>
    <r>
      <t xml:space="preserve">I have decided not to split this into two seperate strategies, because calculating numerous scores </t>
    </r>
    <r>
      <rPr>
        <i/>
        <sz val="11"/>
        <color theme="1"/>
        <rFont val="Calibri"/>
        <family val="2"/>
        <scheme val="minor"/>
      </rPr>
      <t>by blocks</t>
    </r>
    <r>
      <rPr>
        <sz val="11"/>
        <color theme="1"/>
        <rFont val="Calibri"/>
        <family val="2"/>
        <scheme val="minor"/>
      </rPr>
      <t xml:space="preserve"> also yields only </t>
    </r>
    <r>
      <rPr>
        <i/>
        <sz val="11"/>
        <color theme="1"/>
        <rFont val="Calibri"/>
        <family val="2"/>
        <scheme val="minor"/>
      </rPr>
      <t>one</t>
    </r>
    <r>
      <rPr>
        <sz val="11"/>
        <color theme="1"/>
        <rFont val="Calibri"/>
        <family val="2"/>
        <scheme val="minor"/>
      </rPr>
      <t xml:space="preserve"> strategy.</t>
    </r>
  </si>
  <si>
    <t xml:space="preserve">indeterminable </t>
  </si>
  <si>
    <t xml:space="preserve">NakanishI: standard goal is implicitely given but not explicitely </t>
  </si>
  <si>
    <t>Bechara 2007 clinical version</t>
  </si>
  <si>
    <t>probabilities of plays on good decks (within blocks), arcsine-transformed</t>
  </si>
  <si>
    <t>probabilities of plays on bad decks (within blocks), arcsine-transformed</t>
  </si>
  <si>
    <t xml:space="preserve">choices from advantageous decks (within blocks) </t>
  </si>
  <si>
    <t>probabilities of plays on good decks (across all trials), arcsine-transformed</t>
  </si>
  <si>
    <t>probabilities of plays on bad decks (across all trials), arcsine-transformed</t>
  </si>
  <si>
    <t>points</t>
  </si>
  <si>
    <t>chasing index: ratio of good minus bad choice sequences</t>
  </si>
  <si>
    <t>c05</t>
  </si>
  <si>
    <t>c06</t>
  </si>
  <si>
    <t>c07</t>
  </si>
  <si>
    <t>c08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</si>
</sst>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0.00\ &quot;€&quot;"/>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i/>
      <sz val="11"/>
      <color theme="1"/>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77">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8" borderId="1" xfId="0" applyFont="1" applyFill="1" applyBorder="1" applyAlignment="1">
      <alignment vertical="top" wrapText="1"/>
    </xf>
    <xf numFmtId="0" fontId="0" fillId="9" borderId="1" xfId="0" applyFill="1" applyBorder="1" applyAlignment="1">
      <alignment vertical="top"/>
    </xf>
    <xf numFmtId="0" fontId="0" fillId="9" borderId="1" xfId="0" applyFill="1" applyBorder="1" applyAlignment="1">
      <alignment vertical="top" wrapText="1"/>
    </xf>
    <xf numFmtId="0" fontId="1" fillId="2" borderId="1" xfId="0" applyFont="1" applyFill="1" applyBorder="1" applyAlignment="1">
      <alignment vertical="top"/>
    </xf>
    <xf numFmtId="0" fontId="1" fillId="3" borderId="1" xfId="0" applyFont="1" applyFill="1" applyBorder="1" applyAlignment="1">
      <alignment vertical="top"/>
    </xf>
    <xf numFmtId="0" fontId="1" fillId="4" borderId="1" xfId="0" applyFont="1" applyFill="1" applyBorder="1" applyAlignment="1">
      <alignment vertical="top"/>
    </xf>
    <xf numFmtId="0" fontId="1" fillId="4" borderId="1" xfId="0" applyFont="1" applyFill="1" applyBorder="1" applyAlignment="1">
      <alignment vertical="top" wrapText="1"/>
    </xf>
    <xf numFmtId="0" fontId="0" fillId="7" borderId="1" xfId="0" applyFill="1" applyBorder="1" applyAlignment="1">
      <alignment horizontal="left"/>
    </xf>
    <xf numFmtId="8" fontId="0" fillId="7" borderId="1" xfId="0" applyNumberFormat="1" applyFill="1" applyBorder="1" applyAlignment="1">
      <alignment horizontal="left"/>
    </xf>
    <xf numFmtId="49" fontId="0" fillId="7" borderId="1" xfId="0" applyNumberFormat="1" applyFill="1" applyBorder="1" applyAlignment="1">
      <alignment horizontal="left" vertical="top"/>
    </xf>
    <xf numFmtId="49" fontId="0" fillId="7" borderId="1" xfId="0" applyNumberFormat="1" applyFill="1" applyBorder="1" applyAlignment="1">
      <alignment horizontal="left"/>
    </xf>
    <xf numFmtId="9" fontId="0" fillId="7" borderId="1" xfId="0" applyNumberFormat="1" applyFill="1" applyBorder="1" applyAlignment="1">
      <alignment horizontal="left"/>
    </xf>
    <xf numFmtId="0" fontId="0" fillId="7" borderId="1" xfId="0" applyFill="1" applyBorder="1" applyAlignment="1">
      <alignment vertical="top"/>
    </xf>
    <xf numFmtId="49" fontId="0" fillId="7" borderId="1" xfId="0" applyNumberFormat="1" applyFill="1" applyBorder="1" applyAlignment="1">
      <alignment vertical="top"/>
    </xf>
    <xf numFmtId="0" fontId="0" fillId="7" borderId="1" xfId="0" applyFill="1" applyBorder="1" applyAlignment="1">
      <alignment horizontal="left" vertical="top"/>
    </xf>
    <xf numFmtId="9" fontId="0" fillId="7" borderId="1" xfId="0" applyNumberFormat="1" applyFill="1" applyBorder="1" applyAlignment="1">
      <alignment horizontal="left" vertical="top"/>
    </xf>
    <xf numFmtId="9" fontId="0" fillId="7" borderId="1" xfId="0" applyNumberFormat="1" applyFill="1" applyBorder="1" applyAlignment="1">
      <alignment vertical="top"/>
    </xf>
    <xf numFmtId="0" fontId="1" fillId="4" borderId="1" xfId="0" applyNumberFormat="1" applyFont="1" applyFill="1" applyBorder="1" applyAlignment="1">
      <alignment vertical="top"/>
    </xf>
    <xf numFmtId="0" fontId="1" fillId="8" borderId="1" xfId="0" applyNumberFormat="1" applyFont="1" applyFill="1" applyBorder="1" applyAlignment="1">
      <alignment vertical="top" wrapText="1"/>
    </xf>
    <xf numFmtId="0" fontId="0" fillId="9" borderId="1" xfId="0" applyNumberFormat="1" applyFill="1" applyBorder="1" applyAlignment="1">
      <alignment vertical="top"/>
    </xf>
    <xf numFmtId="0" fontId="0" fillId="0" borderId="0" xfId="0" applyNumberFormat="1" applyAlignment="1">
      <alignment vertical="top"/>
    </xf>
    <xf numFmtId="0" fontId="1" fillId="8" borderId="1" xfId="0" applyFont="1" applyFill="1" applyBorder="1" applyAlignment="1">
      <alignment vertical="top"/>
    </xf>
    <xf numFmtId="0" fontId="0" fillId="7" borderId="2" xfId="0" applyFill="1" applyBorder="1" applyAlignment="1">
      <alignment vertical="top"/>
    </xf>
    <xf numFmtId="0" fontId="0" fillId="7" borderId="2" xfId="0" applyFill="1" applyBorder="1" applyAlignment="1">
      <alignment horizontal="left"/>
    </xf>
    <xf numFmtId="8" fontId="0" fillId="7" borderId="2" xfId="0" applyNumberFormat="1" applyFill="1" applyBorder="1" applyAlignment="1">
      <alignment horizontal="left"/>
    </xf>
    <xf numFmtId="49" fontId="0" fillId="7" borderId="2" xfId="0" applyNumberFormat="1" applyFill="1" applyBorder="1" applyAlignment="1">
      <alignment horizontal="left" vertical="top"/>
    </xf>
    <xf numFmtId="49" fontId="0" fillId="7" borderId="2" xfId="0" applyNumberFormat="1" applyFill="1" applyBorder="1" applyAlignment="1">
      <alignment horizontal="left"/>
    </xf>
    <xf numFmtId="49" fontId="0" fillId="7" borderId="2" xfId="0" applyNumberFormat="1" applyFill="1" applyBorder="1" applyAlignment="1">
      <alignment vertical="top"/>
    </xf>
    <xf numFmtId="0" fontId="0" fillId="9" borderId="2" xfId="0" applyNumberFormat="1" applyFill="1" applyBorder="1" applyAlignment="1">
      <alignment vertical="top"/>
    </xf>
    <xf numFmtId="0" fontId="0" fillId="9" borderId="2" xfId="0" applyFill="1" applyBorder="1" applyAlignment="1">
      <alignment vertical="top"/>
    </xf>
    <xf numFmtId="0" fontId="0" fillId="9" borderId="2" xfId="0" applyFill="1" applyBorder="1" applyAlignment="1">
      <alignment vertical="top" wrapText="1"/>
    </xf>
    <xf numFmtId="0" fontId="0" fillId="0" borderId="1" xfId="0" applyBorder="1" applyAlignment="1">
      <alignment vertical="top"/>
    </xf>
    <xf numFmtId="0" fontId="0" fillId="10" borderId="1" xfId="0" applyFill="1" applyBorder="1" applyAlignment="1">
      <alignment vertical="top"/>
    </xf>
    <xf numFmtId="49" fontId="0" fillId="5" borderId="1" xfId="0" applyNumberFormat="1" applyFill="1" applyBorder="1" applyAlignment="1">
      <alignment vertical="top"/>
    </xf>
    <xf numFmtId="0" fontId="0" fillId="5" borderId="1" xfId="0" applyFill="1" applyBorder="1" applyAlignment="1">
      <alignment vertical="top"/>
    </xf>
    <xf numFmtId="49" fontId="0" fillId="12" borderId="1" xfId="0" applyNumberFormat="1" applyFill="1" applyBorder="1" applyAlignment="1">
      <alignment vertical="top"/>
    </xf>
    <xf numFmtId="0" fontId="0" fillId="12" borderId="1" xfId="0" applyFill="1" applyBorder="1" applyAlignment="1">
      <alignment horizontal="left"/>
    </xf>
    <xf numFmtId="0" fontId="0" fillId="12" borderId="1" xfId="0" applyFill="1" applyBorder="1" applyAlignment="1">
      <alignment vertical="top"/>
    </xf>
    <xf numFmtId="0" fontId="0" fillId="12" borderId="1" xfId="0" applyFill="1" applyBorder="1" applyAlignment="1">
      <alignment horizontal="center" vertical="center"/>
    </xf>
    <xf numFmtId="49" fontId="0" fillId="12" borderId="2" xfId="0" applyNumberFormat="1" applyFill="1" applyBorder="1" applyAlignment="1">
      <alignment vertical="top"/>
    </xf>
    <xf numFmtId="0" fontId="0" fillId="12" borderId="2" xfId="0" applyFill="1" applyBorder="1" applyAlignment="1">
      <alignment horizontal="left"/>
    </xf>
    <xf numFmtId="0" fontId="0" fillId="12" borderId="2" xfId="0" applyFill="1" applyBorder="1" applyAlignment="1">
      <alignment vertical="top"/>
    </xf>
    <xf numFmtId="0" fontId="0" fillId="12" borderId="2" xfId="0" applyFill="1" applyBorder="1" applyAlignment="1">
      <alignment horizontal="center" vertical="center"/>
    </xf>
    <xf numFmtId="0" fontId="0" fillId="12" borderId="1" xfId="0" applyFill="1" applyBorder="1" applyAlignment="1">
      <alignment horizontal="center"/>
    </xf>
    <xf numFmtId="0" fontId="0" fillId="5" borderId="1" xfId="0" applyFill="1" applyBorder="1" applyAlignment="1">
      <alignment horizontal="center" vertical="top"/>
    </xf>
    <xf numFmtId="0" fontId="0" fillId="12" borderId="1" xfId="0" applyFill="1" applyBorder="1" applyAlignment="1">
      <alignment horizontal="left" vertical="top"/>
    </xf>
    <xf numFmtId="0" fontId="0" fillId="5" borderId="1" xfId="0" applyFill="1" applyBorder="1" applyAlignment="1">
      <alignment horizontal="left" vertical="top"/>
    </xf>
    <xf numFmtId="0" fontId="0" fillId="12" borderId="2" xfId="0" applyFill="1" applyBorder="1" applyAlignment="1">
      <alignment horizontal="center"/>
    </xf>
    <xf numFmtId="49" fontId="0" fillId="5" borderId="1" xfId="0" applyNumberFormat="1" applyFill="1" applyBorder="1" applyAlignment="1">
      <alignment horizontal="center" vertical="top"/>
    </xf>
    <xf numFmtId="0" fontId="0" fillId="13" borderId="1" xfId="0" applyFill="1" applyBorder="1" applyAlignment="1">
      <alignment vertical="top"/>
    </xf>
    <xf numFmtId="0" fontId="0" fillId="6" borderId="1" xfId="0" applyFill="1" applyBorder="1" applyAlignment="1">
      <alignment vertical="top"/>
    </xf>
    <xf numFmtId="49" fontId="0" fillId="6" borderId="1" xfId="0" applyNumberFormat="1" applyFill="1" applyBorder="1" applyAlignment="1">
      <alignment vertical="top"/>
    </xf>
    <xf numFmtId="9" fontId="0" fillId="6" borderId="1" xfId="0" applyNumberFormat="1" applyFill="1" applyBorder="1" applyAlignment="1">
      <alignment vertical="top"/>
    </xf>
    <xf numFmtId="164" fontId="0" fillId="6" borderId="1" xfId="0" applyNumberFormat="1" applyFill="1" applyBorder="1" applyAlignment="1">
      <alignment vertical="top"/>
    </xf>
    <xf numFmtId="0" fontId="0" fillId="6" borderId="1" xfId="0" applyFill="1" applyBorder="1" applyAlignment="1">
      <alignment horizontal="left" vertical="top"/>
    </xf>
    <xf numFmtId="0" fontId="0" fillId="0" borderId="0" xfId="0" applyAlignment="1">
      <alignment horizontal="left" vertical="top"/>
    </xf>
    <xf numFmtId="10" fontId="0" fillId="6" borderId="1" xfId="1" applyNumberFormat="1" applyFont="1" applyFill="1" applyBorder="1" applyAlignment="1">
      <alignment horizontal="left" vertical="top"/>
    </xf>
    <xf numFmtId="9" fontId="0" fillId="7" borderId="1" xfId="1" applyFont="1" applyFill="1" applyBorder="1" applyAlignment="1">
      <alignment horizontal="left"/>
    </xf>
    <xf numFmtId="9" fontId="0" fillId="6" borderId="1" xfId="0" applyNumberFormat="1" applyFill="1" applyBorder="1" applyAlignment="1">
      <alignment horizontal="left" vertical="top"/>
    </xf>
    <xf numFmtId="0" fontId="0" fillId="11" borderId="1" xfId="0" applyFont="1" applyFill="1" applyBorder="1" applyAlignment="1">
      <alignment vertical="top"/>
    </xf>
    <xf numFmtId="0" fontId="0" fillId="8" borderId="1" xfId="0" applyFill="1" applyBorder="1" applyAlignment="1">
      <alignment vertical="top"/>
    </xf>
    <xf numFmtId="49" fontId="0" fillId="13" borderId="1" xfId="0" applyNumberFormat="1" applyFill="1" applyBorder="1" applyAlignment="1">
      <alignment vertical="top"/>
    </xf>
    <xf numFmtId="0" fontId="0" fillId="13" borderId="1" xfId="0" applyFill="1" applyBorder="1" applyAlignment="1">
      <alignment horizontal="left"/>
    </xf>
    <xf numFmtId="49" fontId="0" fillId="13" borderId="1" xfId="0" applyNumberFormat="1" applyFill="1" applyBorder="1" applyAlignment="1">
      <alignment horizontal="left" vertical="top"/>
    </xf>
    <xf numFmtId="49" fontId="0" fillId="13" borderId="1" xfId="0" applyNumberFormat="1" applyFill="1" applyBorder="1" applyAlignment="1">
      <alignment horizontal="left"/>
    </xf>
    <xf numFmtId="0" fontId="0" fillId="13" borderId="1" xfId="0" applyFill="1" applyBorder="1" applyAlignment="1">
      <alignment horizontal="left" vertical="top"/>
    </xf>
    <xf numFmtId="9" fontId="0" fillId="13" borderId="1" xfId="0" applyNumberFormat="1" applyFill="1" applyBorder="1" applyAlignment="1">
      <alignment horizontal="left"/>
    </xf>
    <xf numFmtId="8" fontId="0" fillId="13" borderId="1" xfId="0" applyNumberFormat="1" applyFill="1" applyBorder="1" applyAlignment="1">
      <alignment horizontal="left"/>
    </xf>
    <xf numFmtId="9" fontId="0" fillId="13" borderId="1" xfId="0" applyNumberFormat="1" applyFill="1" applyBorder="1" applyAlignment="1">
      <alignment horizontal="left" vertical="top"/>
    </xf>
    <xf numFmtId="0" fontId="0" fillId="13" borderId="1" xfId="0" applyNumberFormat="1" applyFill="1" applyBorder="1" applyAlignment="1">
      <alignment vertical="top"/>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Benutzerdefiniert 12">
      <a:dk1>
        <a:srgbClr val="000000"/>
      </a:dk1>
      <a:lt1>
        <a:sysClr val="window" lastClr="FFFFFF"/>
      </a:lt1>
      <a:dk2>
        <a:srgbClr val="5E5E5E"/>
      </a:dk2>
      <a:lt2>
        <a:srgbClr val="DDDDDD"/>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B2B2B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5B74-A2E0-5F42-B8F4-6CDFB60D43E1}">
  <dimension ref="A1:AM66"/>
  <sheetViews>
    <sheetView tabSelected="1" topLeftCell="Y1" workbookViewId="0">
      <selection activeCell="AD16" sqref="AD16"/>
    </sheetView>
  </sheetViews>
  <sheetFormatPr baseColWidth="10" defaultColWidth="10.85546875" defaultRowHeight="15" x14ac:dyDescent="0.25"/>
  <cols>
    <col min="1" max="25" width="20.7109375" style="3" customWidth="1"/>
    <col min="26" max="26" width="21.7109375" style="27" customWidth="1"/>
    <col min="27" max="27" width="21.7109375" style="3" customWidth="1"/>
    <col min="28" max="28" width="35.85546875" style="3" customWidth="1"/>
    <col min="29" max="30" width="21.7109375" style="3" customWidth="1"/>
    <col min="31" max="31" width="26" style="3" customWidth="1"/>
    <col min="32" max="32" width="21.7109375" style="3" customWidth="1"/>
    <col min="33" max="35" width="23.7109375" style="3" customWidth="1"/>
    <col min="36" max="36" width="23.42578125" style="3" customWidth="1"/>
    <col min="37" max="37" width="10.85546875" style="3"/>
    <col min="38" max="38" width="49" style="4" customWidth="1"/>
    <col min="39" max="16384" width="10.85546875" style="3"/>
  </cols>
  <sheetData>
    <row r="1" spans="1:38" s="1" customFormat="1" x14ac:dyDescent="0.25">
      <c r="A1" s="10" t="s">
        <v>2</v>
      </c>
      <c r="B1" s="10" t="s">
        <v>32</v>
      </c>
      <c r="C1" s="10" t="s">
        <v>26</v>
      </c>
      <c r="D1" s="10" t="s">
        <v>53</v>
      </c>
      <c r="E1" s="10" t="s">
        <v>85</v>
      </c>
      <c r="F1" s="11" t="s">
        <v>52</v>
      </c>
      <c r="G1" s="11" t="s">
        <v>34</v>
      </c>
      <c r="H1" s="11" t="s">
        <v>37</v>
      </c>
      <c r="I1" s="11" t="s">
        <v>35</v>
      </c>
      <c r="J1" s="11" t="s">
        <v>36</v>
      </c>
      <c r="K1" s="11" t="s">
        <v>39</v>
      </c>
      <c r="L1" s="11" t="s">
        <v>38</v>
      </c>
      <c r="M1" s="11" t="s">
        <v>40</v>
      </c>
      <c r="N1" s="11" t="s">
        <v>41</v>
      </c>
      <c r="O1" s="11" t="s">
        <v>42</v>
      </c>
      <c r="P1" s="11" t="s">
        <v>43</v>
      </c>
      <c r="Q1" s="11" t="s">
        <v>44</v>
      </c>
      <c r="R1" s="11" t="s">
        <v>45</v>
      </c>
      <c r="S1" s="11" t="s">
        <v>46</v>
      </c>
      <c r="T1" s="11" t="s">
        <v>47</v>
      </c>
      <c r="U1" s="11" t="s">
        <v>48</v>
      </c>
      <c r="V1" s="11" t="s">
        <v>49</v>
      </c>
      <c r="W1" s="11" t="s">
        <v>50</v>
      </c>
      <c r="X1" s="11" t="s">
        <v>51</v>
      </c>
      <c r="Y1" s="11" t="s">
        <v>87</v>
      </c>
      <c r="Z1" s="24" t="s">
        <v>3</v>
      </c>
      <c r="AA1" s="12" t="s">
        <v>0</v>
      </c>
      <c r="AB1" s="12" t="s">
        <v>1</v>
      </c>
      <c r="AC1" s="12" t="s">
        <v>6</v>
      </c>
      <c r="AD1" s="12" t="s">
        <v>18</v>
      </c>
      <c r="AE1" s="12" t="s">
        <v>19</v>
      </c>
      <c r="AF1" s="12" t="s">
        <v>20</v>
      </c>
      <c r="AG1" s="12" t="s">
        <v>4</v>
      </c>
      <c r="AH1" s="12" t="s">
        <v>12</v>
      </c>
      <c r="AI1" s="12" t="s">
        <v>23</v>
      </c>
      <c r="AJ1" s="12" t="s">
        <v>24</v>
      </c>
      <c r="AK1" s="12" t="s">
        <v>5</v>
      </c>
      <c r="AL1" s="13" t="s">
        <v>88</v>
      </c>
    </row>
    <row r="2" spans="1:38" s="2" customFormat="1" ht="291.95" customHeight="1" x14ac:dyDescent="0.25">
      <c r="A2" s="5" t="s">
        <v>28</v>
      </c>
      <c r="B2" s="5" t="s">
        <v>33</v>
      </c>
      <c r="C2" s="5" t="s">
        <v>27</v>
      </c>
      <c r="D2" s="5" t="s">
        <v>73</v>
      </c>
      <c r="E2" s="5" t="s">
        <v>86</v>
      </c>
      <c r="F2" s="6" t="s">
        <v>74</v>
      </c>
      <c r="G2" s="6" t="s">
        <v>54</v>
      </c>
      <c r="H2" s="6" t="s">
        <v>55</v>
      </c>
      <c r="I2" s="6" t="s">
        <v>56</v>
      </c>
      <c r="J2" s="6" t="s">
        <v>57</v>
      </c>
      <c r="K2" s="6" t="s">
        <v>59</v>
      </c>
      <c r="L2" s="6" t="s">
        <v>58</v>
      </c>
      <c r="M2" s="6" t="s">
        <v>60</v>
      </c>
      <c r="N2" s="6" t="s">
        <v>61</v>
      </c>
      <c r="O2" s="6" t="s">
        <v>62</v>
      </c>
      <c r="P2" s="6" t="s">
        <v>63</v>
      </c>
      <c r="Q2" s="6" t="s">
        <v>64</v>
      </c>
      <c r="R2" s="6" t="s">
        <v>65</v>
      </c>
      <c r="S2" s="6" t="s">
        <v>66</v>
      </c>
      <c r="T2" s="6" t="s">
        <v>67</v>
      </c>
      <c r="U2" s="6" t="s">
        <v>68</v>
      </c>
      <c r="V2" s="6" t="s">
        <v>69</v>
      </c>
      <c r="W2" s="6" t="s">
        <v>70</v>
      </c>
      <c r="X2" s="6" t="s">
        <v>71</v>
      </c>
      <c r="Y2" s="6" t="s">
        <v>72</v>
      </c>
      <c r="Z2" s="25" t="s">
        <v>9</v>
      </c>
      <c r="AA2" s="7" t="s">
        <v>17</v>
      </c>
      <c r="AB2" s="28" t="s">
        <v>7</v>
      </c>
      <c r="AC2" s="7" t="s">
        <v>21</v>
      </c>
      <c r="AD2" s="7" t="s">
        <v>15</v>
      </c>
      <c r="AE2" s="7" t="s">
        <v>16</v>
      </c>
      <c r="AF2" s="7" t="s">
        <v>22</v>
      </c>
      <c r="AG2" s="7" t="s">
        <v>11</v>
      </c>
      <c r="AH2" s="7" t="s">
        <v>13</v>
      </c>
      <c r="AI2" s="7" t="s">
        <v>145</v>
      </c>
      <c r="AJ2" s="7" t="s">
        <v>146</v>
      </c>
      <c r="AK2" s="7" t="s">
        <v>8</v>
      </c>
      <c r="AL2" s="7" t="s">
        <v>10</v>
      </c>
    </row>
    <row r="3" spans="1:38" x14ac:dyDescent="0.25">
      <c r="A3" s="42" t="s">
        <v>29</v>
      </c>
      <c r="B3" s="43" t="s">
        <v>89</v>
      </c>
      <c r="C3" s="50">
        <v>2017</v>
      </c>
      <c r="D3" s="44" t="s">
        <v>14</v>
      </c>
      <c r="E3" s="45">
        <v>116</v>
      </c>
      <c r="F3" s="19" t="s">
        <v>25</v>
      </c>
      <c r="G3" s="14" t="s">
        <v>75</v>
      </c>
      <c r="H3" s="19" t="s">
        <v>25</v>
      </c>
      <c r="I3" s="19" t="s">
        <v>25</v>
      </c>
      <c r="J3" s="15" t="s">
        <v>25</v>
      </c>
      <c r="K3" s="16" t="s">
        <v>83</v>
      </c>
      <c r="L3" s="17" t="s">
        <v>84</v>
      </c>
      <c r="M3" s="14" t="s">
        <v>25</v>
      </c>
      <c r="N3" s="19" t="s">
        <v>25</v>
      </c>
      <c r="O3" s="14" t="s">
        <v>25</v>
      </c>
      <c r="P3" s="20" t="s">
        <v>25</v>
      </c>
      <c r="Q3" s="20" t="s">
        <v>25</v>
      </c>
      <c r="R3" s="20" t="s">
        <v>25</v>
      </c>
      <c r="S3" s="20" t="s">
        <v>25</v>
      </c>
      <c r="T3" s="20" t="s">
        <v>25</v>
      </c>
      <c r="U3" s="20" t="s">
        <v>25</v>
      </c>
      <c r="V3" s="20" t="s">
        <v>25</v>
      </c>
      <c r="W3" s="20" t="s">
        <v>25</v>
      </c>
      <c r="X3" s="20" t="s">
        <v>25</v>
      </c>
      <c r="Y3" s="19"/>
      <c r="Z3" s="26">
        <v>1</v>
      </c>
      <c r="AA3" s="8" t="s">
        <v>148</v>
      </c>
      <c r="AB3" s="8" t="s">
        <v>139</v>
      </c>
      <c r="AC3" s="8" t="s">
        <v>141</v>
      </c>
      <c r="AD3" s="8" t="s">
        <v>142</v>
      </c>
      <c r="AE3" s="8" t="s">
        <v>14</v>
      </c>
      <c r="AF3" s="8" t="s">
        <v>14</v>
      </c>
      <c r="AG3" s="8" t="s">
        <v>143</v>
      </c>
      <c r="AH3" s="8" t="s">
        <v>14</v>
      </c>
      <c r="AI3" s="8" t="s">
        <v>14</v>
      </c>
      <c r="AJ3" s="8" t="s">
        <v>14</v>
      </c>
      <c r="AK3" s="8">
        <v>100</v>
      </c>
      <c r="AL3" s="9"/>
    </row>
    <row r="4" spans="1:38" x14ac:dyDescent="0.25">
      <c r="A4" s="42" t="s">
        <v>29</v>
      </c>
      <c r="B4" s="43" t="s">
        <v>89</v>
      </c>
      <c r="C4" s="50">
        <v>2017</v>
      </c>
      <c r="D4" s="44" t="s">
        <v>14</v>
      </c>
      <c r="E4" s="45">
        <v>116</v>
      </c>
      <c r="F4" s="19" t="s">
        <v>25</v>
      </c>
      <c r="G4" s="14" t="s">
        <v>75</v>
      </c>
      <c r="H4" s="19" t="s">
        <v>25</v>
      </c>
      <c r="I4" s="19" t="s">
        <v>25</v>
      </c>
      <c r="J4" s="15" t="s">
        <v>25</v>
      </c>
      <c r="K4" s="16" t="s">
        <v>83</v>
      </c>
      <c r="L4" s="17" t="s">
        <v>84</v>
      </c>
      <c r="M4" s="14" t="s">
        <v>25</v>
      </c>
      <c r="N4" s="19" t="s">
        <v>25</v>
      </c>
      <c r="O4" s="14" t="s">
        <v>25</v>
      </c>
      <c r="P4" s="20" t="s">
        <v>25</v>
      </c>
      <c r="Q4" s="20" t="s">
        <v>25</v>
      </c>
      <c r="R4" s="20" t="s">
        <v>25</v>
      </c>
      <c r="S4" s="20" t="s">
        <v>25</v>
      </c>
      <c r="T4" s="20" t="s">
        <v>25</v>
      </c>
      <c r="U4" s="20" t="s">
        <v>25</v>
      </c>
      <c r="V4" s="20" t="s">
        <v>25</v>
      </c>
      <c r="W4" s="20" t="s">
        <v>25</v>
      </c>
      <c r="X4" s="20" t="s">
        <v>25</v>
      </c>
      <c r="Y4" s="19"/>
      <c r="Z4" s="26">
        <v>2</v>
      </c>
      <c r="AA4" s="8" t="s">
        <v>149</v>
      </c>
      <c r="AB4" s="8" t="s">
        <v>138</v>
      </c>
      <c r="AC4" s="8" t="s">
        <v>141</v>
      </c>
      <c r="AD4" s="56" t="s">
        <v>147</v>
      </c>
      <c r="AE4" s="8" t="s">
        <v>14</v>
      </c>
      <c r="AF4" s="8" t="s">
        <v>14</v>
      </c>
      <c r="AG4" s="8" t="s">
        <v>4</v>
      </c>
      <c r="AH4" s="8" t="s">
        <v>14</v>
      </c>
      <c r="AI4" s="56">
        <v>0.2</v>
      </c>
      <c r="AJ4" s="56">
        <v>0.6</v>
      </c>
      <c r="AK4" s="8">
        <v>100</v>
      </c>
      <c r="AL4" s="9"/>
    </row>
    <row r="5" spans="1:38" x14ac:dyDescent="0.25">
      <c r="A5" s="46" t="s">
        <v>29</v>
      </c>
      <c r="B5" s="47" t="s">
        <v>89</v>
      </c>
      <c r="C5" s="54">
        <v>2017</v>
      </c>
      <c r="D5" s="48" t="s">
        <v>14</v>
      </c>
      <c r="E5" s="49">
        <v>116</v>
      </c>
      <c r="F5" s="29" t="s">
        <v>25</v>
      </c>
      <c r="G5" s="30" t="s">
        <v>75</v>
      </c>
      <c r="H5" s="29" t="s">
        <v>25</v>
      </c>
      <c r="I5" s="29" t="s">
        <v>25</v>
      </c>
      <c r="J5" s="31" t="s">
        <v>25</v>
      </c>
      <c r="K5" s="32" t="s">
        <v>83</v>
      </c>
      <c r="L5" s="33" t="s">
        <v>84</v>
      </c>
      <c r="M5" s="30" t="s">
        <v>25</v>
      </c>
      <c r="N5" s="29" t="s">
        <v>25</v>
      </c>
      <c r="O5" s="30" t="s">
        <v>25</v>
      </c>
      <c r="P5" s="34" t="s">
        <v>25</v>
      </c>
      <c r="Q5" s="34" t="s">
        <v>25</v>
      </c>
      <c r="R5" s="34" t="s">
        <v>25</v>
      </c>
      <c r="S5" s="34" t="s">
        <v>25</v>
      </c>
      <c r="T5" s="34" t="s">
        <v>25</v>
      </c>
      <c r="U5" s="34" t="s">
        <v>25</v>
      </c>
      <c r="V5" s="34" t="s">
        <v>25</v>
      </c>
      <c r="W5" s="34" t="s">
        <v>25</v>
      </c>
      <c r="X5" s="34" t="s">
        <v>25</v>
      </c>
      <c r="Y5" s="29"/>
      <c r="Z5" s="35">
        <v>3</v>
      </c>
      <c r="AA5" s="36" t="s">
        <v>150</v>
      </c>
      <c r="AB5" s="36" t="s">
        <v>140</v>
      </c>
      <c r="AC5" s="36" t="s">
        <v>141</v>
      </c>
      <c r="AD5" s="36" t="s">
        <v>142</v>
      </c>
      <c r="AE5" s="36" t="s">
        <v>14</v>
      </c>
      <c r="AF5" s="36" t="s">
        <v>14</v>
      </c>
      <c r="AG5" s="36" t="s">
        <v>144</v>
      </c>
      <c r="AH5" s="36">
        <v>5</v>
      </c>
      <c r="AI5" s="36" t="s">
        <v>14</v>
      </c>
      <c r="AJ5" s="36" t="s">
        <v>14</v>
      </c>
      <c r="AK5" s="36">
        <v>100</v>
      </c>
      <c r="AL5" s="37"/>
    </row>
    <row r="6" spans="1:38" s="38" customFormat="1" x14ac:dyDescent="0.25">
      <c r="A6" s="40" t="s">
        <v>172</v>
      </c>
      <c r="B6" s="41" t="s">
        <v>173</v>
      </c>
      <c r="C6" s="55">
        <v>2017</v>
      </c>
      <c r="D6" s="41" t="s">
        <v>14</v>
      </c>
      <c r="E6" s="51">
        <v>116</v>
      </c>
      <c r="F6" s="57" t="s">
        <v>25</v>
      </c>
      <c r="G6" s="57" t="s">
        <v>75</v>
      </c>
      <c r="H6" s="57" t="s">
        <v>25</v>
      </c>
      <c r="I6" s="57" t="s">
        <v>25</v>
      </c>
      <c r="J6" s="57" t="s">
        <v>25</v>
      </c>
      <c r="K6" s="57" t="s">
        <v>83</v>
      </c>
      <c r="L6" s="57" t="s">
        <v>84</v>
      </c>
      <c r="M6" s="57" t="s">
        <v>25</v>
      </c>
      <c r="N6" s="57" t="s">
        <v>25</v>
      </c>
      <c r="O6" s="57" t="s">
        <v>25</v>
      </c>
      <c r="P6" s="57" t="s">
        <v>25</v>
      </c>
      <c r="Q6" s="57" t="s">
        <v>25</v>
      </c>
      <c r="R6" s="57" t="s">
        <v>25</v>
      </c>
      <c r="S6" s="57" t="s">
        <v>25</v>
      </c>
      <c r="T6" s="57" t="s">
        <v>25</v>
      </c>
      <c r="U6" s="57" t="s">
        <v>25</v>
      </c>
      <c r="V6" s="57" t="s">
        <v>25</v>
      </c>
      <c r="W6" s="57" t="s">
        <v>25</v>
      </c>
      <c r="X6" s="57" t="s">
        <v>25</v>
      </c>
      <c r="Y6" s="57"/>
      <c r="Z6" s="67">
        <v>1</v>
      </c>
      <c r="AA6" s="67">
        <v>1</v>
      </c>
      <c r="AB6" s="67" t="s">
        <v>174</v>
      </c>
      <c r="AC6" s="67" t="s">
        <v>141</v>
      </c>
      <c r="AD6" s="67" t="s">
        <v>142</v>
      </c>
      <c r="AE6" s="67" t="s">
        <v>14</v>
      </c>
      <c r="AF6" s="67" t="s">
        <v>14</v>
      </c>
      <c r="AG6" s="67" t="s">
        <v>143</v>
      </c>
      <c r="AH6" s="67" t="s">
        <v>14</v>
      </c>
      <c r="AI6" s="67" t="s">
        <v>14</v>
      </c>
      <c r="AJ6" s="67" t="s">
        <v>14</v>
      </c>
      <c r="AK6" s="67"/>
      <c r="AL6" s="67"/>
    </row>
    <row r="7" spans="1:38" s="38" customFormat="1" x14ac:dyDescent="0.25">
      <c r="A7" s="40" t="s">
        <v>172</v>
      </c>
      <c r="B7" s="41" t="s">
        <v>173</v>
      </c>
      <c r="C7" s="55">
        <v>2017</v>
      </c>
      <c r="D7" s="41" t="s">
        <v>14</v>
      </c>
      <c r="E7" s="51">
        <v>116</v>
      </c>
      <c r="F7" s="57" t="s">
        <v>25</v>
      </c>
      <c r="G7" s="57" t="s">
        <v>75</v>
      </c>
      <c r="H7" s="57" t="s">
        <v>25</v>
      </c>
      <c r="I7" s="57" t="s">
        <v>25</v>
      </c>
      <c r="J7" s="57" t="s">
        <v>25</v>
      </c>
      <c r="K7" s="57" t="s">
        <v>83</v>
      </c>
      <c r="L7" s="57" t="s">
        <v>84</v>
      </c>
      <c r="M7" s="57" t="s">
        <v>25</v>
      </c>
      <c r="N7" s="57" t="s">
        <v>25</v>
      </c>
      <c r="O7" s="57" t="s">
        <v>25</v>
      </c>
      <c r="P7" s="57" t="s">
        <v>25</v>
      </c>
      <c r="Q7" s="57" t="s">
        <v>25</v>
      </c>
      <c r="R7" s="57" t="s">
        <v>25</v>
      </c>
      <c r="S7" s="57" t="s">
        <v>25</v>
      </c>
      <c r="T7" s="57" t="s">
        <v>25</v>
      </c>
      <c r="U7" s="57" t="s">
        <v>25</v>
      </c>
      <c r="V7" s="57" t="s">
        <v>25</v>
      </c>
      <c r="W7" s="57" t="s">
        <v>25</v>
      </c>
      <c r="X7" s="57" t="s">
        <v>25</v>
      </c>
      <c r="Y7" s="57"/>
      <c r="Z7" s="67">
        <v>2</v>
      </c>
      <c r="AA7" s="67" t="s">
        <v>175</v>
      </c>
      <c r="AB7" s="67" t="s">
        <v>176</v>
      </c>
      <c r="AC7" s="67" t="s">
        <v>141</v>
      </c>
      <c r="AD7" s="56" t="s">
        <v>142</v>
      </c>
      <c r="AE7" s="67" t="s">
        <v>14</v>
      </c>
      <c r="AF7" s="67" t="s">
        <v>14</v>
      </c>
      <c r="AG7" s="67" t="s">
        <v>4</v>
      </c>
      <c r="AH7" s="67" t="s">
        <v>14</v>
      </c>
      <c r="AI7" s="56" t="s">
        <v>14</v>
      </c>
      <c r="AJ7" s="56" t="s">
        <v>14</v>
      </c>
      <c r="AK7" s="67"/>
      <c r="AL7" s="67" t="s">
        <v>177</v>
      </c>
    </row>
    <row r="8" spans="1:38" s="38" customFormat="1" x14ac:dyDescent="0.25">
      <c r="A8" s="40" t="s">
        <v>172</v>
      </c>
      <c r="B8" s="41" t="s">
        <v>173</v>
      </c>
      <c r="C8" s="55">
        <v>2017</v>
      </c>
      <c r="D8" s="41" t="s">
        <v>14</v>
      </c>
      <c r="E8" s="51">
        <v>116</v>
      </c>
      <c r="F8" s="57" t="s">
        <v>25</v>
      </c>
      <c r="G8" s="57" t="s">
        <v>75</v>
      </c>
      <c r="H8" s="57" t="s">
        <v>25</v>
      </c>
      <c r="I8" s="57" t="s">
        <v>25</v>
      </c>
      <c r="J8" s="57" t="s">
        <v>25</v>
      </c>
      <c r="K8" s="57" t="s">
        <v>83</v>
      </c>
      <c r="L8" s="57" t="s">
        <v>84</v>
      </c>
      <c r="M8" s="57" t="s">
        <v>25</v>
      </c>
      <c r="N8" s="57" t="s">
        <v>25</v>
      </c>
      <c r="O8" s="57" t="s">
        <v>25</v>
      </c>
      <c r="P8" s="57" t="s">
        <v>25</v>
      </c>
      <c r="Q8" s="57" t="s">
        <v>25</v>
      </c>
      <c r="R8" s="57" t="s">
        <v>25</v>
      </c>
      <c r="S8" s="57" t="s">
        <v>25</v>
      </c>
      <c r="T8" s="57" t="s">
        <v>25</v>
      </c>
      <c r="U8" s="57" t="s">
        <v>25</v>
      </c>
      <c r="V8" s="57" t="s">
        <v>25</v>
      </c>
      <c r="W8" s="57" t="s">
        <v>25</v>
      </c>
      <c r="X8" s="57" t="s">
        <v>25</v>
      </c>
      <c r="Y8" s="57"/>
      <c r="Z8" s="67">
        <v>3</v>
      </c>
      <c r="AA8" s="67">
        <v>2</v>
      </c>
      <c r="AB8" s="67" t="s">
        <v>178</v>
      </c>
      <c r="AC8" s="67" t="s">
        <v>141</v>
      </c>
      <c r="AD8" s="67" t="s">
        <v>142</v>
      </c>
      <c r="AE8" s="67" t="s">
        <v>14</v>
      </c>
      <c r="AF8" s="67" t="s">
        <v>14</v>
      </c>
      <c r="AG8" s="67" t="s">
        <v>144</v>
      </c>
      <c r="AH8" s="67" t="s">
        <v>179</v>
      </c>
      <c r="AI8" s="67" t="s">
        <v>14</v>
      </c>
      <c r="AJ8" s="67" t="s">
        <v>14</v>
      </c>
      <c r="AK8" s="67"/>
      <c r="AL8" s="67"/>
    </row>
    <row r="9" spans="1:38" s="38" customFormat="1" x14ac:dyDescent="0.25">
      <c r="A9" s="42" t="s">
        <v>30</v>
      </c>
      <c r="B9" s="43" t="s">
        <v>90</v>
      </c>
      <c r="C9" s="50">
        <v>2016</v>
      </c>
      <c r="D9" s="52">
        <v>1</v>
      </c>
      <c r="E9" s="45">
        <v>116</v>
      </c>
      <c r="F9" s="19" t="s">
        <v>25</v>
      </c>
      <c r="G9" s="14" t="s">
        <v>78</v>
      </c>
      <c r="H9" s="19" t="s">
        <v>79</v>
      </c>
      <c r="I9" s="19" t="s">
        <v>25</v>
      </c>
      <c r="J9" s="15" t="s">
        <v>108</v>
      </c>
      <c r="K9" s="16" t="s">
        <v>118</v>
      </c>
      <c r="L9" s="17" t="s">
        <v>182</v>
      </c>
      <c r="M9" s="17" t="s">
        <v>114</v>
      </c>
      <c r="N9" s="19" t="s">
        <v>114</v>
      </c>
      <c r="O9" s="17" t="s">
        <v>115</v>
      </c>
      <c r="P9" s="20" t="s">
        <v>115</v>
      </c>
      <c r="Q9" s="21">
        <v>10</v>
      </c>
      <c r="R9" s="21">
        <v>10</v>
      </c>
      <c r="S9" s="21">
        <v>10</v>
      </c>
      <c r="T9" s="21">
        <v>10</v>
      </c>
      <c r="U9" s="18">
        <v>0.5</v>
      </c>
      <c r="V9" s="18">
        <v>0.1</v>
      </c>
      <c r="W9" s="18">
        <v>0.5</v>
      </c>
      <c r="X9" s="22">
        <v>0.1</v>
      </c>
      <c r="Y9" s="19"/>
      <c r="Z9" s="26">
        <v>1</v>
      </c>
      <c r="AA9" s="8" t="s">
        <v>148</v>
      </c>
      <c r="AB9" s="8" t="s">
        <v>139</v>
      </c>
      <c r="AC9" s="8" t="s">
        <v>141</v>
      </c>
      <c r="AD9" s="8" t="s">
        <v>142</v>
      </c>
      <c r="AE9" s="8" t="s">
        <v>14</v>
      </c>
      <c r="AF9" s="8" t="s">
        <v>14</v>
      </c>
      <c r="AG9" s="8" t="s">
        <v>143</v>
      </c>
      <c r="AH9" s="8" t="s">
        <v>14</v>
      </c>
      <c r="AI9" s="8" t="s">
        <v>14</v>
      </c>
      <c r="AJ9" s="8" t="s">
        <v>14</v>
      </c>
      <c r="AK9" s="8">
        <v>100</v>
      </c>
      <c r="AL9" s="9"/>
    </row>
    <row r="10" spans="1:38" s="38" customFormat="1" x14ac:dyDescent="0.25">
      <c r="A10" s="42" t="s">
        <v>30</v>
      </c>
      <c r="B10" s="43" t="s">
        <v>90</v>
      </c>
      <c r="C10" s="50">
        <v>2016</v>
      </c>
      <c r="D10" s="52">
        <v>1</v>
      </c>
      <c r="E10" s="45">
        <v>116</v>
      </c>
      <c r="F10" s="19" t="s">
        <v>25</v>
      </c>
      <c r="G10" s="14" t="s">
        <v>78</v>
      </c>
      <c r="H10" s="19" t="s">
        <v>79</v>
      </c>
      <c r="I10" s="19" t="s">
        <v>25</v>
      </c>
      <c r="J10" s="15" t="s">
        <v>108</v>
      </c>
      <c r="K10" s="16" t="s">
        <v>118</v>
      </c>
      <c r="L10" s="17" t="s">
        <v>182</v>
      </c>
      <c r="M10" s="17" t="s">
        <v>114</v>
      </c>
      <c r="N10" s="19" t="s">
        <v>114</v>
      </c>
      <c r="O10" s="17" t="s">
        <v>115</v>
      </c>
      <c r="P10" s="20" t="s">
        <v>115</v>
      </c>
      <c r="Q10" s="21">
        <v>10</v>
      </c>
      <c r="R10" s="21">
        <v>10</v>
      </c>
      <c r="S10" s="21">
        <v>10</v>
      </c>
      <c r="T10" s="21">
        <v>10</v>
      </c>
      <c r="U10" s="18">
        <v>0.5</v>
      </c>
      <c r="V10" s="18">
        <v>0.1</v>
      </c>
      <c r="W10" s="18">
        <v>0.5</v>
      </c>
      <c r="X10" s="22">
        <v>0.1</v>
      </c>
      <c r="Y10" s="19"/>
      <c r="Z10" s="26">
        <v>2</v>
      </c>
      <c r="AA10" s="8" t="s">
        <v>150</v>
      </c>
      <c r="AB10" s="8" t="s">
        <v>140</v>
      </c>
      <c r="AC10" s="8" t="s">
        <v>141</v>
      </c>
      <c r="AD10" s="8" t="s">
        <v>142</v>
      </c>
      <c r="AE10" s="8" t="s">
        <v>14</v>
      </c>
      <c r="AF10" s="8" t="s">
        <v>14</v>
      </c>
      <c r="AG10" s="8" t="s">
        <v>144</v>
      </c>
      <c r="AH10" s="8">
        <v>5</v>
      </c>
      <c r="AI10" s="8" t="s">
        <v>14</v>
      </c>
      <c r="AJ10" s="8" t="s">
        <v>14</v>
      </c>
      <c r="AK10" s="8">
        <v>100</v>
      </c>
      <c r="AL10" s="9"/>
    </row>
    <row r="11" spans="1:38" s="38" customFormat="1" x14ac:dyDescent="0.25">
      <c r="A11" s="42" t="s">
        <v>30</v>
      </c>
      <c r="B11" s="43" t="s">
        <v>90</v>
      </c>
      <c r="C11" s="50">
        <v>2016</v>
      </c>
      <c r="D11" s="52">
        <v>1</v>
      </c>
      <c r="E11" s="45">
        <v>116</v>
      </c>
      <c r="F11" s="19" t="s">
        <v>25</v>
      </c>
      <c r="G11" s="14" t="s">
        <v>78</v>
      </c>
      <c r="H11" s="19" t="s">
        <v>79</v>
      </c>
      <c r="I11" s="19" t="s">
        <v>25</v>
      </c>
      <c r="J11" s="15" t="s">
        <v>108</v>
      </c>
      <c r="K11" s="16" t="s">
        <v>118</v>
      </c>
      <c r="L11" s="17" t="s">
        <v>182</v>
      </c>
      <c r="M11" s="17" t="s">
        <v>114</v>
      </c>
      <c r="N11" s="19" t="s">
        <v>114</v>
      </c>
      <c r="O11" s="17" t="s">
        <v>115</v>
      </c>
      <c r="P11" s="20" t="s">
        <v>115</v>
      </c>
      <c r="Q11" s="21">
        <v>10</v>
      </c>
      <c r="R11" s="21">
        <v>10</v>
      </c>
      <c r="S11" s="21">
        <v>10</v>
      </c>
      <c r="T11" s="21">
        <v>10</v>
      </c>
      <c r="U11" s="18">
        <v>0.5</v>
      </c>
      <c r="V11" s="18">
        <v>0.1</v>
      </c>
      <c r="W11" s="18">
        <v>0.5</v>
      </c>
      <c r="X11" s="22">
        <v>0.1</v>
      </c>
      <c r="Y11" s="19"/>
      <c r="Z11" s="26">
        <v>3</v>
      </c>
      <c r="AA11" s="8" t="s">
        <v>151</v>
      </c>
      <c r="AB11" s="8" t="s">
        <v>152</v>
      </c>
      <c r="AC11" s="8" t="s">
        <v>141</v>
      </c>
      <c r="AD11" s="8"/>
      <c r="AE11" s="8" t="s">
        <v>14</v>
      </c>
      <c r="AF11" s="8" t="s">
        <v>14</v>
      </c>
      <c r="AG11" s="8" t="s">
        <v>144</v>
      </c>
      <c r="AH11" s="8">
        <v>5</v>
      </c>
      <c r="AI11" s="8" t="s">
        <v>14</v>
      </c>
      <c r="AJ11" s="8" t="s">
        <v>14</v>
      </c>
      <c r="AK11" s="8">
        <v>100</v>
      </c>
      <c r="AL11" s="9"/>
    </row>
    <row r="12" spans="1:38" s="38" customFormat="1" x14ac:dyDescent="0.25">
      <c r="A12" s="40" t="s">
        <v>180</v>
      </c>
      <c r="B12" s="41" t="s">
        <v>181</v>
      </c>
      <c r="C12" s="55">
        <v>2016</v>
      </c>
      <c r="D12" s="53">
        <v>1</v>
      </c>
      <c r="E12" s="51">
        <v>116</v>
      </c>
      <c r="F12" s="57" t="s">
        <v>25</v>
      </c>
      <c r="G12" s="57" t="s">
        <v>78</v>
      </c>
      <c r="H12" s="57" t="s">
        <v>79</v>
      </c>
      <c r="I12" s="57" t="s">
        <v>25</v>
      </c>
      <c r="J12" s="57" t="s">
        <v>108</v>
      </c>
      <c r="K12" s="57" t="s">
        <v>118</v>
      </c>
      <c r="L12" s="57" t="s">
        <v>182</v>
      </c>
      <c r="M12" s="58" t="s">
        <v>114</v>
      </c>
      <c r="N12" s="58" t="s">
        <v>114</v>
      </c>
      <c r="O12" s="58" t="s">
        <v>115</v>
      </c>
      <c r="P12" s="58" t="s">
        <v>115</v>
      </c>
      <c r="Q12" s="61">
        <v>10</v>
      </c>
      <c r="R12" s="61">
        <v>10</v>
      </c>
      <c r="S12" s="61">
        <v>10</v>
      </c>
      <c r="T12" s="61">
        <v>10</v>
      </c>
      <c r="U12" s="65">
        <v>0.5</v>
      </c>
      <c r="V12" s="65">
        <v>0.1</v>
      </c>
      <c r="W12" s="65">
        <v>0.5</v>
      </c>
      <c r="X12" s="65">
        <v>0.1</v>
      </c>
      <c r="Y12" s="57" t="s">
        <v>183</v>
      </c>
      <c r="Z12" s="67">
        <v>1</v>
      </c>
      <c r="AA12" s="67">
        <v>1</v>
      </c>
      <c r="AB12" s="67" t="s">
        <v>174</v>
      </c>
      <c r="AC12" s="67" t="s">
        <v>141</v>
      </c>
      <c r="AD12" s="67" t="s">
        <v>142</v>
      </c>
      <c r="AE12" s="67" t="s">
        <v>14</v>
      </c>
      <c r="AF12" s="67" t="s">
        <v>14</v>
      </c>
      <c r="AG12" s="67" t="s">
        <v>143</v>
      </c>
      <c r="AH12" s="67" t="s">
        <v>14</v>
      </c>
      <c r="AI12" s="67" t="s">
        <v>14</v>
      </c>
      <c r="AJ12" s="67" t="s">
        <v>14</v>
      </c>
      <c r="AK12" s="67"/>
      <c r="AL12" s="67"/>
    </row>
    <row r="13" spans="1:38" s="38" customFormat="1" x14ac:dyDescent="0.25">
      <c r="A13" s="40" t="s">
        <v>180</v>
      </c>
      <c r="B13" s="41" t="s">
        <v>181</v>
      </c>
      <c r="C13" s="55">
        <v>2016</v>
      </c>
      <c r="D13" s="53">
        <v>1</v>
      </c>
      <c r="E13" s="51">
        <v>116</v>
      </c>
      <c r="F13" s="57" t="s">
        <v>25</v>
      </c>
      <c r="G13" s="57" t="s">
        <v>78</v>
      </c>
      <c r="H13" s="57" t="s">
        <v>79</v>
      </c>
      <c r="I13" s="57" t="s">
        <v>25</v>
      </c>
      <c r="J13" s="57" t="s">
        <v>108</v>
      </c>
      <c r="K13" s="57" t="s">
        <v>118</v>
      </c>
      <c r="L13" s="57" t="s">
        <v>182</v>
      </c>
      <c r="M13" s="58" t="s">
        <v>114</v>
      </c>
      <c r="N13" s="58" t="s">
        <v>114</v>
      </c>
      <c r="O13" s="58" t="s">
        <v>115</v>
      </c>
      <c r="P13" s="58" t="s">
        <v>115</v>
      </c>
      <c r="Q13" s="61">
        <v>10</v>
      </c>
      <c r="R13" s="61">
        <v>10</v>
      </c>
      <c r="S13" s="61">
        <v>10</v>
      </c>
      <c r="T13" s="61">
        <v>10</v>
      </c>
      <c r="U13" s="65">
        <v>0.5</v>
      </c>
      <c r="V13" s="65">
        <v>0.1</v>
      </c>
      <c r="W13" s="65">
        <v>0.5</v>
      </c>
      <c r="X13" s="65">
        <v>0.1</v>
      </c>
      <c r="Y13" s="57" t="s">
        <v>183</v>
      </c>
      <c r="Z13" s="67">
        <v>2</v>
      </c>
      <c r="AA13" s="67">
        <v>2</v>
      </c>
      <c r="AB13" s="67" t="s">
        <v>178</v>
      </c>
      <c r="AC13" s="67" t="s">
        <v>141</v>
      </c>
      <c r="AD13" s="67" t="s">
        <v>142</v>
      </c>
      <c r="AE13" s="67" t="s">
        <v>14</v>
      </c>
      <c r="AF13" s="67" t="s">
        <v>14</v>
      </c>
      <c r="AG13" s="67" t="s">
        <v>144</v>
      </c>
      <c r="AH13" s="67" t="s">
        <v>179</v>
      </c>
      <c r="AI13" s="67" t="s">
        <v>14</v>
      </c>
      <c r="AJ13" s="67" t="s">
        <v>14</v>
      </c>
      <c r="AK13" s="67"/>
      <c r="AL13" s="67"/>
    </row>
    <row r="14" spans="1:38" s="38" customFormat="1" x14ac:dyDescent="0.25">
      <c r="A14" s="40" t="s">
        <v>180</v>
      </c>
      <c r="B14" s="41" t="s">
        <v>181</v>
      </c>
      <c r="C14" s="55">
        <v>2016</v>
      </c>
      <c r="D14" s="53">
        <v>1</v>
      </c>
      <c r="E14" s="51">
        <v>116</v>
      </c>
      <c r="F14" s="57" t="s">
        <v>25</v>
      </c>
      <c r="G14" s="57" t="s">
        <v>78</v>
      </c>
      <c r="H14" s="57" t="s">
        <v>79</v>
      </c>
      <c r="I14" s="57" t="s">
        <v>25</v>
      </c>
      <c r="J14" s="57" t="s">
        <v>108</v>
      </c>
      <c r="K14" s="57" t="s">
        <v>118</v>
      </c>
      <c r="L14" s="57" t="s">
        <v>182</v>
      </c>
      <c r="M14" s="58" t="s">
        <v>114</v>
      </c>
      <c r="N14" s="58" t="s">
        <v>114</v>
      </c>
      <c r="O14" s="58" t="s">
        <v>115</v>
      </c>
      <c r="P14" s="58" t="s">
        <v>115</v>
      </c>
      <c r="Q14" s="61">
        <v>10</v>
      </c>
      <c r="R14" s="61">
        <v>10</v>
      </c>
      <c r="S14" s="61">
        <v>10</v>
      </c>
      <c r="T14" s="61">
        <v>10</v>
      </c>
      <c r="U14" s="65">
        <v>0.5</v>
      </c>
      <c r="V14" s="65">
        <v>0.1</v>
      </c>
      <c r="W14" s="65">
        <v>0.5</v>
      </c>
      <c r="X14" s="65">
        <v>0.1</v>
      </c>
      <c r="Y14" s="57" t="s">
        <v>183</v>
      </c>
      <c r="Z14" s="67">
        <v>3</v>
      </c>
      <c r="AA14" s="67" t="s">
        <v>184</v>
      </c>
      <c r="AB14" s="67" t="s">
        <v>185</v>
      </c>
      <c r="AC14" s="67" t="s">
        <v>141</v>
      </c>
      <c r="AD14" s="67"/>
      <c r="AE14" s="67" t="s">
        <v>14</v>
      </c>
      <c r="AF14" s="67" t="s">
        <v>14</v>
      </c>
      <c r="AG14" s="67" t="s">
        <v>144</v>
      </c>
      <c r="AH14" s="67" t="s">
        <v>179</v>
      </c>
      <c r="AI14" s="67" t="s">
        <v>14</v>
      </c>
      <c r="AJ14" s="67" t="s">
        <v>14</v>
      </c>
      <c r="AK14" s="67"/>
      <c r="AL14" s="67"/>
    </row>
    <row r="15" spans="1:38" s="38" customFormat="1" x14ac:dyDescent="0.25">
      <c r="A15" s="42" t="s">
        <v>31</v>
      </c>
      <c r="B15" s="43" t="s">
        <v>91</v>
      </c>
      <c r="C15" s="50">
        <v>2020</v>
      </c>
      <c r="D15" s="44" t="s">
        <v>14</v>
      </c>
      <c r="E15" s="45">
        <v>191</v>
      </c>
      <c r="F15" s="19" t="s">
        <v>25</v>
      </c>
      <c r="G15" s="14" t="s">
        <v>25</v>
      </c>
      <c r="H15" s="14" t="s">
        <v>79</v>
      </c>
      <c r="I15" s="14" t="s">
        <v>25</v>
      </c>
      <c r="J15" s="15" t="s">
        <v>25</v>
      </c>
      <c r="K15" s="15" t="s">
        <v>25</v>
      </c>
      <c r="L15" s="15" t="s">
        <v>25</v>
      </c>
      <c r="M15" s="15" t="s">
        <v>25</v>
      </c>
      <c r="N15" s="15" t="s">
        <v>25</v>
      </c>
      <c r="O15" s="15" t="s">
        <v>25</v>
      </c>
      <c r="P15" s="15" t="s">
        <v>25</v>
      </c>
      <c r="Q15" s="15" t="s">
        <v>25</v>
      </c>
      <c r="R15" s="15" t="s">
        <v>25</v>
      </c>
      <c r="S15" s="15" t="s">
        <v>25</v>
      </c>
      <c r="T15" s="15" t="s">
        <v>25</v>
      </c>
      <c r="U15" s="15" t="s">
        <v>25</v>
      </c>
      <c r="V15" s="15" t="s">
        <v>25</v>
      </c>
      <c r="W15" s="15" t="s">
        <v>25</v>
      </c>
      <c r="X15" s="15" t="s">
        <v>25</v>
      </c>
      <c r="Y15" s="19" t="s">
        <v>117</v>
      </c>
      <c r="Z15" s="76">
        <v>1</v>
      </c>
      <c r="AA15" s="56" t="s">
        <v>263</v>
      </c>
      <c r="AB15" s="56" t="s">
        <v>259</v>
      </c>
      <c r="AC15" s="56" t="s">
        <v>141</v>
      </c>
      <c r="AD15" s="56" t="s">
        <v>25</v>
      </c>
      <c r="AE15" s="56" t="s">
        <v>14</v>
      </c>
      <c r="AF15" s="56" t="s">
        <v>14</v>
      </c>
      <c r="AG15" s="56" t="s">
        <v>143</v>
      </c>
      <c r="AH15" s="56" t="s">
        <v>14</v>
      </c>
      <c r="AI15" s="56" t="s">
        <v>14</v>
      </c>
      <c r="AJ15" s="56" t="s">
        <v>14</v>
      </c>
      <c r="AK15" s="56">
        <v>120</v>
      </c>
      <c r="AL15" s="9"/>
    </row>
    <row r="16" spans="1:38" s="38" customFormat="1" x14ac:dyDescent="0.25">
      <c r="A16" s="42" t="s">
        <v>31</v>
      </c>
      <c r="B16" s="43" t="s">
        <v>91</v>
      </c>
      <c r="C16" s="50">
        <v>2020</v>
      </c>
      <c r="D16" s="44" t="s">
        <v>14</v>
      </c>
      <c r="E16" s="45">
        <v>191</v>
      </c>
      <c r="F16" s="19" t="s">
        <v>25</v>
      </c>
      <c r="G16" s="14" t="s">
        <v>25</v>
      </c>
      <c r="H16" s="14" t="s">
        <v>79</v>
      </c>
      <c r="I16" s="14" t="s">
        <v>25</v>
      </c>
      <c r="J16" s="15" t="s">
        <v>25</v>
      </c>
      <c r="K16" s="15" t="s">
        <v>25</v>
      </c>
      <c r="L16" s="15" t="s">
        <v>25</v>
      </c>
      <c r="M16" s="15" t="s">
        <v>25</v>
      </c>
      <c r="N16" s="15" t="s">
        <v>25</v>
      </c>
      <c r="O16" s="15" t="s">
        <v>25</v>
      </c>
      <c r="P16" s="15" t="s">
        <v>25</v>
      </c>
      <c r="Q16" s="15" t="s">
        <v>25</v>
      </c>
      <c r="R16" s="15" t="s">
        <v>25</v>
      </c>
      <c r="S16" s="15" t="s">
        <v>25</v>
      </c>
      <c r="T16" s="15" t="s">
        <v>25</v>
      </c>
      <c r="U16" s="15" t="s">
        <v>25</v>
      </c>
      <c r="V16" s="15" t="s">
        <v>25</v>
      </c>
      <c r="W16" s="15" t="s">
        <v>25</v>
      </c>
      <c r="X16" s="15" t="s">
        <v>25</v>
      </c>
      <c r="Y16" s="19" t="s">
        <v>117</v>
      </c>
      <c r="Z16" s="76">
        <v>2</v>
      </c>
      <c r="AA16" s="56" t="s">
        <v>264</v>
      </c>
      <c r="AB16" s="56" t="s">
        <v>260</v>
      </c>
      <c r="AC16" s="56" t="s">
        <v>141</v>
      </c>
      <c r="AD16" s="56" t="s">
        <v>25</v>
      </c>
      <c r="AE16" s="56" t="s">
        <v>14</v>
      </c>
      <c r="AF16" s="56" t="s">
        <v>14</v>
      </c>
      <c r="AG16" s="56" t="s">
        <v>143</v>
      </c>
      <c r="AH16" s="56" t="s">
        <v>14</v>
      </c>
      <c r="AI16" s="56" t="s">
        <v>14</v>
      </c>
      <c r="AJ16" s="56" t="s">
        <v>14</v>
      </c>
      <c r="AK16" s="56">
        <v>120</v>
      </c>
      <c r="AL16" s="9"/>
    </row>
    <row r="17" spans="1:39" s="38" customFormat="1" x14ac:dyDescent="0.25">
      <c r="A17" s="42" t="s">
        <v>31</v>
      </c>
      <c r="B17" s="43" t="s">
        <v>91</v>
      </c>
      <c r="C17" s="50">
        <v>2020</v>
      </c>
      <c r="D17" s="44" t="s">
        <v>14</v>
      </c>
      <c r="E17" s="45">
        <v>191</v>
      </c>
      <c r="F17" s="19" t="s">
        <v>25</v>
      </c>
      <c r="G17" s="14" t="s">
        <v>25</v>
      </c>
      <c r="H17" s="14" t="s">
        <v>79</v>
      </c>
      <c r="I17" s="14" t="s">
        <v>25</v>
      </c>
      <c r="J17" s="15" t="s">
        <v>25</v>
      </c>
      <c r="K17" s="15" t="s">
        <v>25</v>
      </c>
      <c r="L17" s="15" t="s">
        <v>25</v>
      </c>
      <c r="M17" s="15" t="s">
        <v>25</v>
      </c>
      <c r="N17" s="15" t="s">
        <v>25</v>
      </c>
      <c r="O17" s="15" t="s">
        <v>25</v>
      </c>
      <c r="P17" s="15" t="s">
        <v>25</v>
      </c>
      <c r="Q17" s="15" t="s">
        <v>25</v>
      </c>
      <c r="R17" s="15" t="s">
        <v>25</v>
      </c>
      <c r="S17" s="15" t="s">
        <v>25</v>
      </c>
      <c r="T17" s="15" t="s">
        <v>25</v>
      </c>
      <c r="U17" s="15" t="s">
        <v>25</v>
      </c>
      <c r="V17" s="15" t="s">
        <v>25</v>
      </c>
      <c r="W17" s="15" t="s">
        <v>25</v>
      </c>
      <c r="X17" s="15" t="s">
        <v>25</v>
      </c>
      <c r="Y17" s="19" t="s">
        <v>117</v>
      </c>
      <c r="Z17" s="76">
        <v>3</v>
      </c>
      <c r="AA17" s="56" t="s">
        <v>265</v>
      </c>
      <c r="AB17" s="56" t="s">
        <v>256</v>
      </c>
      <c r="AC17" s="56" t="s">
        <v>141</v>
      </c>
      <c r="AD17" s="56" t="s">
        <v>25</v>
      </c>
      <c r="AE17" s="56" t="s">
        <v>14</v>
      </c>
      <c r="AF17" s="56" t="s">
        <v>14</v>
      </c>
      <c r="AG17" s="56" t="s">
        <v>144</v>
      </c>
      <c r="AH17" s="56">
        <v>3</v>
      </c>
      <c r="AI17" s="56" t="s">
        <v>14</v>
      </c>
      <c r="AJ17" s="56" t="s">
        <v>14</v>
      </c>
      <c r="AK17" s="56">
        <v>120</v>
      </c>
      <c r="AL17" s="9"/>
    </row>
    <row r="18" spans="1:39" s="38" customFormat="1" x14ac:dyDescent="0.25">
      <c r="A18" s="42" t="s">
        <v>31</v>
      </c>
      <c r="B18" s="43" t="s">
        <v>91</v>
      </c>
      <c r="C18" s="50">
        <v>2020</v>
      </c>
      <c r="D18" s="44" t="s">
        <v>14</v>
      </c>
      <c r="E18" s="45">
        <v>191</v>
      </c>
      <c r="F18" s="19" t="s">
        <v>25</v>
      </c>
      <c r="G18" s="14" t="s">
        <v>25</v>
      </c>
      <c r="H18" s="14" t="s">
        <v>79</v>
      </c>
      <c r="I18" s="14" t="s">
        <v>25</v>
      </c>
      <c r="J18" s="15" t="s">
        <v>25</v>
      </c>
      <c r="K18" s="15" t="s">
        <v>25</v>
      </c>
      <c r="L18" s="15" t="s">
        <v>25</v>
      </c>
      <c r="M18" s="15" t="s">
        <v>25</v>
      </c>
      <c r="N18" s="15" t="s">
        <v>25</v>
      </c>
      <c r="O18" s="15" t="s">
        <v>25</v>
      </c>
      <c r="P18" s="15" t="s">
        <v>25</v>
      </c>
      <c r="Q18" s="15" t="s">
        <v>25</v>
      </c>
      <c r="R18" s="15" t="s">
        <v>25</v>
      </c>
      <c r="S18" s="15" t="s">
        <v>25</v>
      </c>
      <c r="T18" s="15" t="s">
        <v>25</v>
      </c>
      <c r="U18" s="15" t="s">
        <v>25</v>
      </c>
      <c r="V18" s="15" t="s">
        <v>25</v>
      </c>
      <c r="W18" s="15" t="s">
        <v>25</v>
      </c>
      <c r="X18" s="15" t="s">
        <v>25</v>
      </c>
      <c r="Y18" s="19" t="s">
        <v>117</v>
      </c>
      <c r="Z18" s="76">
        <v>4</v>
      </c>
      <c r="AA18" s="56" t="s">
        <v>266</v>
      </c>
      <c r="AB18" s="56" t="s">
        <v>257</v>
      </c>
      <c r="AC18" s="56" t="s">
        <v>141</v>
      </c>
      <c r="AD18" s="56" t="s">
        <v>25</v>
      </c>
      <c r="AE18" s="56" t="s">
        <v>14</v>
      </c>
      <c r="AF18" s="56" t="s">
        <v>14</v>
      </c>
      <c r="AG18" s="56" t="s">
        <v>144</v>
      </c>
      <c r="AH18" s="56">
        <v>3</v>
      </c>
      <c r="AI18" s="56" t="s">
        <v>14</v>
      </c>
      <c r="AJ18" s="56" t="s">
        <v>14</v>
      </c>
      <c r="AK18" s="56">
        <v>120</v>
      </c>
      <c r="AL18" s="9"/>
    </row>
    <row r="19" spans="1:39" s="38" customFormat="1" x14ac:dyDescent="0.25">
      <c r="A19" s="40" t="s">
        <v>186</v>
      </c>
      <c r="B19" s="41" t="s">
        <v>187</v>
      </c>
      <c r="C19" s="55">
        <v>2020</v>
      </c>
      <c r="D19" s="41" t="s">
        <v>14</v>
      </c>
      <c r="E19" s="51">
        <v>191</v>
      </c>
      <c r="F19" s="57" t="s">
        <v>25</v>
      </c>
      <c r="G19" s="57" t="s">
        <v>25</v>
      </c>
      <c r="H19" s="57" t="s">
        <v>79</v>
      </c>
      <c r="I19" s="57" t="s">
        <v>25</v>
      </c>
      <c r="J19" s="57" t="s">
        <v>25</v>
      </c>
      <c r="K19" s="57" t="s">
        <v>25</v>
      </c>
      <c r="L19" s="57" t="s">
        <v>25</v>
      </c>
      <c r="M19" s="57" t="s">
        <v>25</v>
      </c>
      <c r="N19" s="57" t="s">
        <v>25</v>
      </c>
      <c r="O19" s="57" t="s">
        <v>25</v>
      </c>
      <c r="P19" s="57" t="s">
        <v>25</v>
      </c>
      <c r="Q19" s="57" t="s">
        <v>25</v>
      </c>
      <c r="R19" s="57" t="s">
        <v>25</v>
      </c>
      <c r="S19" s="57" t="s">
        <v>25</v>
      </c>
      <c r="T19" s="57" t="s">
        <v>25</v>
      </c>
      <c r="U19" s="57" t="s">
        <v>25</v>
      </c>
      <c r="V19" s="57" t="s">
        <v>25</v>
      </c>
      <c r="W19" s="57" t="s">
        <v>25</v>
      </c>
      <c r="X19" s="57" t="s">
        <v>25</v>
      </c>
      <c r="Y19" s="57" t="s">
        <v>188</v>
      </c>
      <c r="Z19" s="56">
        <v>1</v>
      </c>
      <c r="AA19" s="56" t="s">
        <v>175</v>
      </c>
      <c r="AB19" s="56" t="s">
        <v>189</v>
      </c>
      <c r="AC19" s="56" t="s">
        <v>141</v>
      </c>
      <c r="AD19" s="56" t="s">
        <v>25</v>
      </c>
      <c r="AE19" s="56" t="s">
        <v>14</v>
      </c>
      <c r="AF19" s="56" t="s">
        <v>14</v>
      </c>
      <c r="AG19" s="56" t="s">
        <v>144</v>
      </c>
      <c r="AH19" s="56" t="s">
        <v>190</v>
      </c>
      <c r="AI19" s="56" t="s">
        <v>14</v>
      </c>
      <c r="AJ19" s="56" t="s">
        <v>14</v>
      </c>
      <c r="AK19" s="56"/>
      <c r="AL19" s="67"/>
      <c r="AM19" s="38" t="s">
        <v>191</v>
      </c>
    </row>
    <row r="20" spans="1:39" s="38" customFormat="1" x14ac:dyDescent="0.25">
      <c r="A20" s="40" t="s">
        <v>186</v>
      </c>
      <c r="B20" s="41" t="s">
        <v>187</v>
      </c>
      <c r="C20" s="55">
        <v>2020</v>
      </c>
      <c r="D20" s="41" t="s">
        <v>14</v>
      </c>
      <c r="E20" s="51">
        <v>191</v>
      </c>
      <c r="F20" s="57" t="s">
        <v>25</v>
      </c>
      <c r="G20" s="57" t="s">
        <v>25</v>
      </c>
      <c r="H20" s="57" t="s">
        <v>79</v>
      </c>
      <c r="I20" s="57" t="s">
        <v>25</v>
      </c>
      <c r="J20" s="57" t="s">
        <v>25</v>
      </c>
      <c r="K20" s="57" t="s">
        <v>25</v>
      </c>
      <c r="L20" s="57" t="s">
        <v>25</v>
      </c>
      <c r="M20" s="57" t="s">
        <v>25</v>
      </c>
      <c r="N20" s="57" t="s">
        <v>25</v>
      </c>
      <c r="O20" s="57" t="s">
        <v>25</v>
      </c>
      <c r="P20" s="57" t="s">
        <v>25</v>
      </c>
      <c r="Q20" s="57" t="s">
        <v>25</v>
      </c>
      <c r="R20" s="57" t="s">
        <v>25</v>
      </c>
      <c r="S20" s="57" t="s">
        <v>25</v>
      </c>
      <c r="T20" s="57" t="s">
        <v>25</v>
      </c>
      <c r="U20" s="57" t="s">
        <v>25</v>
      </c>
      <c r="V20" s="57" t="s">
        <v>25</v>
      </c>
      <c r="W20" s="57" t="s">
        <v>25</v>
      </c>
      <c r="X20" s="57" t="s">
        <v>25</v>
      </c>
      <c r="Y20" s="57" t="s">
        <v>188</v>
      </c>
      <c r="Z20" s="56">
        <v>2</v>
      </c>
      <c r="AA20" s="56" t="s">
        <v>175</v>
      </c>
      <c r="AB20" s="56" t="s">
        <v>192</v>
      </c>
      <c r="AC20" s="56" t="s">
        <v>141</v>
      </c>
      <c r="AD20" s="56" t="s">
        <v>25</v>
      </c>
      <c r="AE20" s="56" t="s">
        <v>14</v>
      </c>
      <c r="AF20" s="56" t="s">
        <v>14</v>
      </c>
      <c r="AG20" s="56" t="s">
        <v>143</v>
      </c>
      <c r="AH20" s="56" t="s">
        <v>14</v>
      </c>
      <c r="AI20" s="56" t="s">
        <v>14</v>
      </c>
      <c r="AJ20" s="56" t="s">
        <v>14</v>
      </c>
      <c r="AK20" s="56"/>
      <c r="AL20" s="67"/>
      <c r="AM20" s="38" t="s">
        <v>193</v>
      </c>
    </row>
    <row r="21" spans="1:39" s="38" customFormat="1" x14ac:dyDescent="0.25">
      <c r="A21" s="40" t="s">
        <v>186</v>
      </c>
      <c r="B21" s="41" t="s">
        <v>187</v>
      </c>
      <c r="C21" s="55">
        <v>2020</v>
      </c>
      <c r="D21" s="41" t="s">
        <v>14</v>
      </c>
      <c r="E21" s="51">
        <v>191</v>
      </c>
      <c r="F21" s="57" t="s">
        <v>25</v>
      </c>
      <c r="G21" s="57" t="s">
        <v>25</v>
      </c>
      <c r="H21" s="57" t="s">
        <v>79</v>
      </c>
      <c r="I21" s="57" t="s">
        <v>25</v>
      </c>
      <c r="J21" s="57" t="s">
        <v>25</v>
      </c>
      <c r="K21" s="57" t="s">
        <v>25</v>
      </c>
      <c r="L21" s="57" t="s">
        <v>25</v>
      </c>
      <c r="M21" s="57" t="s">
        <v>25</v>
      </c>
      <c r="N21" s="57" t="s">
        <v>25</v>
      </c>
      <c r="O21" s="57" t="s">
        <v>25</v>
      </c>
      <c r="P21" s="57" t="s">
        <v>25</v>
      </c>
      <c r="Q21" s="57" t="s">
        <v>25</v>
      </c>
      <c r="R21" s="57" t="s">
        <v>25</v>
      </c>
      <c r="S21" s="57" t="s">
        <v>25</v>
      </c>
      <c r="T21" s="57" t="s">
        <v>25</v>
      </c>
      <c r="U21" s="57" t="s">
        <v>25</v>
      </c>
      <c r="V21" s="57" t="s">
        <v>25</v>
      </c>
      <c r="W21" s="57" t="s">
        <v>25</v>
      </c>
      <c r="X21" s="57" t="s">
        <v>25</v>
      </c>
      <c r="Y21" s="57" t="s">
        <v>188</v>
      </c>
      <c r="Z21" s="56">
        <v>3</v>
      </c>
      <c r="AA21" s="56" t="s">
        <v>175</v>
      </c>
      <c r="AB21" s="56" t="s">
        <v>194</v>
      </c>
      <c r="AC21" s="56" t="s">
        <v>141</v>
      </c>
      <c r="AD21" s="56" t="s">
        <v>25</v>
      </c>
      <c r="AE21" s="56" t="s">
        <v>14</v>
      </c>
      <c r="AF21" s="56" t="s">
        <v>14</v>
      </c>
      <c r="AG21" s="56" t="s">
        <v>144</v>
      </c>
      <c r="AH21" s="56" t="s">
        <v>195</v>
      </c>
      <c r="AI21" s="56" t="s">
        <v>14</v>
      </c>
      <c r="AJ21" s="56" t="s">
        <v>14</v>
      </c>
      <c r="AK21" s="56"/>
      <c r="AL21" s="67"/>
      <c r="AM21" s="38" t="s">
        <v>193</v>
      </c>
    </row>
    <row r="22" spans="1:39" s="38" customFormat="1" x14ac:dyDescent="0.25">
      <c r="A22" s="42" t="s">
        <v>100</v>
      </c>
      <c r="B22" s="43" t="s">
        <v>92</v>
      </c>
      <c r="C22" s="50">
        <v>2019</v>
      </c>
      <c r="D22" s="42" t="s">
        <v>14</v>
      </c>
      <c r="E22" s="50">
        <v>68</v>
      </c>
      <c r="F22" s="19" t="s">
        <v>25</v>
      </c>
      <c r="G22" s="14" t="s">
        <v>75</v>
      </c>
      <c r="H22" s="19" t="s">
        <v>79</v>
      </c>
      <c r="I22" s="19" t="s">
        <v>80</v>
      </c>
      <c r="J22" s="14" t="s">
        <v>81</v>
      </c>
      <c r="K22" s="16" t="s">
        <v>130</v>
      </c>
      <c r="L22" s="17" t="s">
        <v>131</v>
      </c>
      <c r="M22" s="16" t="s">
        <v>119</v>
      </c>
      <c r="N22" s="19" t="s">
        <v>119</v>
      </c>
      <c r="O22" s="17" t="s">
        <v>120</v>
      </c>
      <c r="P22" s="20" t="s">
        <v>120</v>
      </c>
      <c r="Q22" s="21">
        <v>10</v>
      </c>
      <c r="R22" s="21">
        <v>10</v>
      </c>
      <c r="S22" s="21">
        <v>10</v>
      </c>
      <c r="T22" s="21">
        <v>10</v>
      </c>
      <c r="U22" s="14" t="s">
        <v>25</v>
      </c>
      <c r="V22" s="14" t="s">
        <v>25</v>
      </c>
      <c r="W22" s="14" t="s">
        <v>25</v>
      </c>
      <c r="X22" s="23" t="s">
        <v>25</v>
      </c>
      <c r="Y22" s="19" t="s">
        <v>121</v>
      </c>
      <c r="Z22" s="26">
        <v>1</v>
      </c>
      <c r="AA22" s="8" t="s">
        <v>264</v>
      </c>
      <c r="AB22" s="8" t="s">
        <v>258</v>
      </c>
      <c r="AC22" s="8" t="s">
        <v>141</v>
      </c>
      <c r="AD22" s="8" t="s">
        <v>153</v>
      </c>
      <c r="AE22" s="8" t="s">
        <v>14</v>
      </c>
      <c r="AF22" s="8" t="s">
        <v>14</v>
      </c>
      <c r="AG22" s="8" t="s">
        <v>144</v>
      </c>
      <c r="AH22" s="8">
        <v>5</v>
      </c>
      <c r="AI22" s="8" t="s">
        <v>14</v>
      </c>
      <c r="AJ22" s="8" t="s">
        <v>14</v>
      </c>
      <c r="AK22" s="8">
        <v>100</v>
      </c>
      <c r="AL22" s="9"/>
    </row>
    <row r="23" spans="1:39" s="38" customFormat="1" x14ac:dyDescent="0.25">
      <c r="A23" s="40" t="s">
        <v>196</v>
      </c>
      <c r="B23" s="41" t="s">
        <v>197</v>
      </c>
      <c r="C23" s="55" t="s">
        <v>198</v>
      </c>
      <c r="D23" s="41" t="s">
        <v>14</v>
      </c>
      <c r="E23" s="51">
        <v>68</v>
      </c>
      <c r="F23" s="57" t="s">
        <v>25</v>
      </c>
      <c r="G23" s="57" t="s">
        <v>75</v>
      </c>
      <c r="H23" s="57" t="s">
        <v>79</v>
      </c>
      <c r="I23" s="57" t="s">
        <v>80</v>
      </c>
      <c r="J23" s="57" t="s">
        <v>81</v>
      </c>
      <c r="K23" s="57" t="s">
        <v>83</v>
      </c>
      <c r="L23" s="57" t="s">
        <v>84</v>
      </c>
      <c r="M23" s="57" t="s">
        <v>119</v>
      </c>
      <c r="N23" s="57" t="s">
        <v>119</v>
      </c>
      <c r="O23" s="58" t="s">
        <v>120</v>
      </c>
      <c r="P23" s="58" t="s">
        <v>120</v>
      </c>
      <c r="Q23" s="61">
        <v>10</v>
      </c>
      <c r="R23" s="61">
        <v>10</v>
      </c>
      <c r="S23" s="61">
        <v>10</v>
      </c>
      <c r="T23" s="61">
        <v>10</v>
      </c>
      <c r="U23" s="66"/>
      <c r="V23" s="66"/>
      <c r="W23" s="66"/>
      <c r="X23" s="66"/>
      <c r="Y23" s="57" t="s">
        <v>199</v>
      </c>
      <c r="Z23" s="67">
        <v>1</v>
      </c>
      <c r="AA23" s="67" t="s">
        <v>175</v>
      </c>
      <c r="AB23" s="67" t="s">
        <v>200</v>
      </c>
      <c r="AC23" s="67" t="s">
        <v>141</v>
      </c>
      <c r="AD23" s="67" t="s">
        <v>201</v>
      </c>
      <c r="AE23" s="67" t="s">
        <v>14</v>
      </c>
      <c r="AF23" s="67" t="s">
        <v>14</v>
      </c>
      <c r="AG23" s="67" t="s">
        <v>144</v>
      </c>
      <c r="AH23" s="67" t="s">
        <v>179</v>
      </c>
      <c r="AI23" s="67" t="s">
        <v>14</v>
      </c>
      <c r="AJ23" s="67" t="s">
        <v>14</v>
      </c>
      <c r="AK23" s="67"/>
      <c r="AL23" s="67"/>
    </row>
    <row r="24" spans="1:39" s="38" customFormat="1" x14ac:dyDescent="0.25">
      <c r="A24" s="42" t="s">
        <v>101</v>
      </c>
      <c r="B24" s="43" t="s">
        <v>93</v>
      </c>
      <c r="C24" s="50">
        <v>2010</v>
      </c>
      <c r="D24" s="68" t="s">
        <v>123</v>
      </c>
      <c r="E24" s="50">
        <v>20</v>
      </c>
      <c r="F24" s="19" t="s">
        <v>204</v>
      </c>
      <c r="G24" s="14" t="s">
        <v>253</v>
      </c>
      <c r="H24" s="19" t="s">
        <v>79</v>
      </c>
      <c r="I24" s="19" t="s">
        <v>80</v>
      </c>
      <c r="J24" s="14" t="s">
        <v>109</v>
      </c>
      <c r="K24" s="70" t="s">
        <v>124</v>
      </c>
      <c r="L24" s="71" t="s">
        <v>125</v>
      </c>
      <c r="M24" s="70" t="s">
        <v>126</v>
      </c>
      <c r="N24" s="19" t="s">
        <v>14</v>
      </c>
      <c r="O24" s="71" t="s">
        <v>127</v>
      </c>
      <c r="P24" s="20" t="s">
        <v>14</v>
      </c>
      <c r="Q24" s="72">
        <v>16</v>
      </c>
      <c r="R24" s="21" t="s">
        <v>14</v>
      </c>
      <c r="S24" s="72">
        <v>16</v>
      </c>
      <c r="T24" s="21" t="s">
        <v>14</v>
      </c>
      <c r="U24" s="73">
        <v>0.5</v>
      </c>
      <c r="V24" s="16" t="s">
        <v>14</v>
      </c>
      <c r="W24" s="73">
        <v>0.5</v>
      </c>
      <c r="X24" s="23" t="s">
        <v>14</v>
      </c>
      <c r="Y24" s="19" t="s">
        <v>122</v>
      </c>
      <c r="Z24" s="26">
        <v>1</v>
      </c>
      <c r="AA24" s="8"/>
      <c r="AB24" s="8" t="s">
        <v>154</v>
      </c>
      <c r="AC24" s="8" t="s">
        <v>141</v>
      </c>
      <c r="AD24" s="8" t="s">
        <v>14</v>
      </c>
      <c r="AE24" s="8" t="s">
        <v>14</v>
      </c>
      <c r="AF24" s="8" t="s">
        <v>14</v>
      </c>
      <c r="AG24" s="8" t="s">
        <v>144</v>
      </c>
      <c r="AH24" s="8">
        <v>16</v>
      </c>
      <c r="AI24" s="8" t="s">
        <v>14</v>
      </c>
      <c r="AJ24" s="8" t="s">
        <v>14</v>
      </c>
      <c r="AK24" s="8">
        <v>16</v>
      </c>
      <c r="AL24" s="9"/>
    </row>
    <row r="25" spans="1:39" s="38" customFormat="1" x14ac:dyDescent="0.25">
      <c r="A25" s="42" t="s">
        <v>101</v>
      </c>
      <c r="B25" s="43" t="s">
        <v>93</v>
      </c>
      <c r="C25" s="50">
        <v>2010</v>
      </c>
      <c r="D25" s="68" t="s">
        <v>123</v>
      </c>
      <c r="E25" s="50">
        <v>20</v>
      </c>
      <c r="F25" s="19" t="s">
        <v>204</v>
      </c>
      <c r="G25" s="14" t="s">
        <v>253</v>
      </c>
      <c r="H25" s="19" t="s">
        <v>79</v>
      </c>
      <c r="I25" s="19" t="s">
        <v>80</v>
      </c>
      <c r="J25" s="14" t="s">
        <v>109</v>
      </c>
      <c r="K25" s="70" t="s">
        <v>124</v>
      </c>
      <c r="L25" s="71" t="s">
        <v>125</v>
      </c>
      <c r="M25" s="70" t="s">
        <v>126</v>
      </c>
      <c r="N25" s="19" t="s">
        <v>14</v>
      </c>
      <c r="O25" s="71" t="s">
        <v>127</v>
      </c>
      <c r="P25" s="20" t="s">
        <v>14</v>
      </c>
      <c r="Q25" s="72">
        <v>16</v>
      </c>
      <c r="R25" s="21" t="s">
        <v>14</v>
      </c>
      <c r="S25" s="72">
        <v>16</v>
      </c>
      <c r="T25" s="21" t="s">
        <v>14</v>
      </c>
      <c r="U25" s="73">
        <v>0.5</v>
      </c>
      <c r="V25" s="16" t="s">
        <v>14</v>
      </c>
      <c r="W25" s="73">
        <v>0.5</v>
      </c>
      <c r="X25" s="23" t="s">
        <v>14</v>
      </c>
      <c r="Y25" s="19" t="s">
        <v>122</v>
      </c>
      <c r="Z25" s="26">
        <v>2</v>
      </c>
      <c r="AA25" s="8"/>
      <c r="AB25" s="8" t="s">
        <v>209</v>
      </c>
      <c r="AC25" s="8" t="s">
        <v>261</v>
      </c>
      <c r="AD25" s="8" t="s">
        <v>14</v>
      </c>
      <c r="AE25" s="56" t="s">
        <v>210</v>
      </c>
      <c r="AF25" s="8" t="s">
        <v>14</v>
      </c>
      <c r="AG25" s="8" t="s">
        <v>143</v>
      </c>
      <c r="AH25" s="8" t="s">
        <v>14</v>
      </c>
      <c r="AI25" s="8" t="s">
        <v>14</v>
      </c>
      <c r="AJ25" s="8" t="s">
        <v>14</v>
      </c>
      <c r="AK25" s="8"/>
      <c r="AL25" s="9"/>
    </row>
    <row r="26" spans="1:39" s="38" customFormat="1" x14ac:dyDescent="0.25">
      <c r="A26" s="40" t="s">
        <v>202</v>
      </c>
      <c r="B26" s="41" t="s">
        <v>203</v>
      </c>
      <c r="C26" s="55">
        <v>2010</v>
      </c>
      <c r="D26" s="56" t="s">
        <v>14</v>
      </c>
      <c r="E26" s="51">
        <v>20</v>
      </c>
      <c r="F26" s="57" t="s">
        <v>204</v>
      </c>
      <c r="G26" s="57" t="s">
        <v>25</v>
      </c>
      <c r="H26" s="57" t="s">
        <v>79</v>
      </c>
      <c r="I26" s="57" t="s">
        <v>80</v>
      </c>
      <c r="J26" s="57" t="s">
        <v>109</v>
      </c>
      <c r="K26" s="56" t="s">
        <v>14</v>
      </c>
      <c r="L26" s="56" t="s">
        <v>14</v>
      </c>
      <c r="M26" s="56" t="s">
        <v>14</v>
      </c>
      <c r="N26" s="57" t="s">
        <v>14</v>
      </c>
      <c r="O26" s="56" t="s">
        <v>14</v>
      </c>
      <c r="P26" s="57" t="s">
        <v>14</v>
      </c>
      <c r="Q26" s="56" t="s">
        <v>14</v>
      </c>
      <c r="R26" s="57" t="s">
        <v>14</v>
      </c>
      <c r="S26" s="56" t="s">
        <v>14</v>
      </c>
      <c r="T26" s="57" t="s">
        <v>14</v>
      </c>
      <c r="U26" s="56" t="s">
        <v>14</v>
      </c>
      <c r="V26" s="57" t="s">
        <v>14</v>
      </c>
      <c r="W26" s="56" t="s">
        <v>14</v>
      </c>
      <c r="X26" s="57" t="s">
        <v>14</v>
      </c>
      <c r="Y26" s="57" t="s">
        <v>205</v>
      </c>
      <c r="Z26" s="67">
        <v>1</v>
      </c>
      <c r="AA26" s="67" t="s">
        <v>175</v>
      </c>
      <c r="AB26" s="67" t="s">
        <v>206</v>
      </c>
      <c r="AC26" s="67" t="s">
        <v>141</v>
      </c>
      <c r="AD26" s="67"/>
      <c r="AE26" s="67" t="s">
        <v>14</v>
      </c>
      <c r="AF26" s="67" t="s">
        <v>14</v>
      </c>
      <c r="AG26" s="67" t="s">
        <v>207</v>
      </c>
      <c r="AH26" s="67" t="s">
        <v>14</v>
      </c>
      <c r="AI26" s="67" t="s">
        <v>14</v>
      </c>
      <c r="AJ26" s="67" t="s">
        <v>14</v>
      </c>
      <c r="AK26" s="67"/>
      <c r="AL26" s="67"/>
      <c r="AM26" s="38" t="s">
        <v>208</v>
      </c>
    </row>
    <row r="27" spans="1:39" s="38" customFormat="1" x14ac:dyDescent="0.25">
      <c r="A27" s="40" t="s">
        <v>202</v>
      </c>
      <c r="B27" s="41" t="s">
        <v>203</v>
      </c>
      <c r="C27" s="55">
        <v>2010</v>
      </c>
      <c r="D27" s="56" t="s">
        <v>14</v>
      </c>
      <c r="E27" s="51">
        <v>20</v>
      </c>
      <c r="F27" s="57" t="s">
        <v>204</v>
      </c>
      <c r="G27" s="57" t="s">
        <v>25</v>
      </c>
      <c r="H27" s="57" t="s">
        <v>79</v>
      </c>
      <c r="I27" s="57" t="s">
        <v>80</v>
      </c>
      <c r="J27" s="57" t="s">
        <v>109</v>
      </c>
      <c r="K27" s="56" t="s">
        <v>14</v>
      </c>
      <c r="L27" s="56" t="s">
        <v>14</v>
      </c>
      <c r="M27" s="56" t="s">
        <v>14</v>
      </c>
      <c r="N27" s="57" t="s">
        <v>14</v>
      </c>
      <c r="O27" s="56" t="s">
        <v>14</v>
      </c>
      <c r="P27" s="57" t="s">
        <v>14</v>
      </c>
      <c r="Q27" s="56" t="s">
        <v>14</v>
      </c>
      <c r="R27" s="57" t="s">
        <v>14</v>
      </c>
      <c r="S27" s="56" t="s">
        <v>14</v>
      </c>
      <c r="T27" s="57" t="s">
        <v>14</v>
      </c>
      <c r="U27" s="56" t="s">
        <v>14</v>
      </c>
      <c r="V27" s="57" t="s">
        <v>14</v>
      </c>
      <c r="W27" s="56" t="s">
        <v>14</v>
      </c>
      <c r="X27" s="57" t="s">
        <v>14</v>
      </c>
      <c r="Y27" s="57" t="s">
        <v>205</v>
      </c>
      <c r="Z27" s="67">
        <v>2</v>
      </c>
      <c r="AA27" s="67" t="s">
        <v>175</v>
      </c>
      <c r="AB27" s="67" t="s">
        <v>209</v>
      </c>
      <c r="AC27" s="67" t="s">
        <v>210</v>
      </c>
      <c r="AD27" s="67" t="s">
        <v>14</v>
      </c>
      <c r="AE27" s="56" t="s">
        <v>14</v>
      </c>
      <c r="AF27" s="67" t="s">
        <v>14</v>
      </c>
      <c r="AG27" s="67" t="s">
        <v>143</v>
      </c>
      <c r="AH27" s="67" t="s">
        <v>14</v>
      </c>
      <c r="AI27" s="67" t="s">
        <v>14</v>
      </c>
      <c r="AJ27" s="67" t="s">
        <v>14</v>
      </c>
      <c r="AK27" s="67"/>
      <c r="AL27" s="67"/>
    </row>
    <row r="28" spans="1:39" s="38" customFormat="1" x14ac:dyDescent="0.25">
      <c r="A28" s="40" t="s">
        <v>202</v>
      </c>
      <c r="B28" s="41" t="s">
        <v>203</v>
      </c>
      <c r="C28" s="55">
        <v>2010</v>
      </c>
      <c r="D28" s="56" t="s">
        <v>14</v>
      </c>
      <c r="E28" s="51">
        <v>20</v>
      </c>
      <c r="F28" s="57" t="s">
        <v>204</v>
      </c>
      <c r="G28" s="57" t="s">
        <v>25</v>
      </c>
      <c r="H28" s="57" t="s">
        <v>79</v>
      </c>
      <c r="I28" s="57" t="s">
        <v>80</v>
      </c>
      <c r="J28" s="57" t="s">
        <v>109</v>
      </c>
      <c r="K28" s="56" t="s">
        <v>14</v>
      </c>
      <c r="L28" s="56" t="s">
        <v>14</v>
      </c>
      <c r="M28" s="56" t="s">
        <v>14</v>
      </c>
      <c r="N28" s="57" t="s">
        <v>14</v>
      </c>
      <c r="O28" s="56" t="s">
        <v>14</v>
      </c>
      <c r="P28" s="57" t="s">
        <v>14</v>
      </c>
      <c r="Q28" s="56" t="s">
        <v>14</v>
      </c>
      <c r="R28" s="57" t="s">
        <v>14</v>
      </c>
      <c r="S28" s="56" t="s">
        <v>14</v>
      </c>
      <c r="T28" s="57" t="s">
        <v>14</v>
      </c>
      <c r="U28" s="56" t="s">
        <v>14</v>
      </c>
      <c r="V28" s="57" t="s">
        <v>14</v>
      </c>
      <c r="W28" s="56" t="s">
        <v>14</v>
      </c>
      <c r="X28" s="57" t="s">
        <v>14</v>
      </c>
      <c r="Y28" s="57" t="s">
        <v>205</v>
      </c>
      <c r="Z28" s="56">
        <v>3</v>
      </c>
      <c r="AA28" s="56" t="s">
        <v>211</v>
      </c>
      <c r="AB28" s="56" t="s">
        <v>212</v>
      </c>
      <c r="AC28" s="56" t="s">
        <v>213</v>
      </c>
      <c r="AD28" s="56" t="s">
        <v>14</v>
      </c>
      <c r="AE28" s="56" t="s">
        <v>14</v>
      </c>
      <c r="AF28" s="56"/>
      <c r="AG28" s="56" t="s">
        <v>143</v>
      </c>
      <c r="AH28" s="56" t="s">
        <v>14</v>
      </c>
      <c r="AI28" s="56" t="s">
        <v>14</v>
      </c>
      <c r="AJ28" s="56" t="s">
        <v>14</v>
      </c>
      <c r="AK28" s="56"/>
      <c r="AL28" s="67"/>
      <c r="AM28" s="38">
        <f>AM53</f>
        <v>0</v>
      </c>
    </row>
    <row r="29" spans="1:39" s="38" customFormat="1" x14ac:dyDescent="0.25">
      <c r="A29" s="42" t="s">
        <v>102</v>
      </c>
      <c r="B29" s="43" t="s">
        <v>94</v>
      </c>
      <c r="C29" s="50">
        <v>2006</v>
      </c>
      <c r="D29" s="44" t="s">
        <v>14</v>
      </c>
      <c r="E29" s="50">
        <f xml:space="preserve"> 61+39</f>
        <v>100</v>
      </c>
      <c r="F29" s="19" t="s">
        <v>204</v>
      </c>
      <c r="G29" s="14" t="s">
        <v>25</v>
      </c>
      <c r="H29" s="19" t="s">
        <v>79</v>
      </c>
      <c r="I29" s="19" t="s">
        <v>80</v>
      </c>
      <c r="J29" s="74" t="s">
        <v>128</v>
      </c>
      <c r="K29" s="70" t="s">
        <v>110</v>
      </c>
      <c r="L29" s="71" t="s">
        <v>112</v>
      </c>
      <c r="M29" s="69">
        <v>250</v>
      </c>
      <c r="N29" s="72">
        <v>250</v>
      </c>
      <c r="O29" s="69">
        <v>-250</v>
      </c>
      <c r="P29" s="72">
        <v>-250</v>
      </c>
      <c r="Q29" s="72">
        <v>10</v>
      </c>
      <c r="R29" s="72">
        <v>10</v>
      </c>
      <c r="S29" s="72">
        <v>10</v>
      </c>
      <c r="T29" s="72">
        <v>10</v>
      </c>
      <c r="U29" s="73">
        <v>0.5</v>
      </c>
      <c r="V29" s="73">
        <v>0.1</v>
      </c>
      <c r="W29" s="73">
        <v>0.5</v>
      </c>
      <c r="X29" s="75">
        <v>0.1</v>
      </c>
      <c r="Y29" s="19" t="s">
        <v>129</v>
      </c>
      <c r="Z29" s="26">
        <v>1</v>
      </c>
      <c r="AA29" s="8" t="s">
        <v>148</v>
      </c>
      <c r="AB29" s="8" t="s">
        <v>139</v>
      </c>
      <c r="AC29" s="8" t="s">
        <v>141</v>
      </c>
      <c r="AD29" s="8" t="s">
        <v>142</v>
      </c>
      <c r="AE29" s="8" t="s">
        <v>14</v>
      </c>
      <c r="AF29" s="8" t="s">
        <v>14</v>
      </c>
      <c r="AG29" s="8" t="s">
        <v>143</v>
      </c>
      <c r="AH29" s="8" t="s">
        <v>14</v>
      </c>
      <c r="AI29" s="8" t="s">
        <v>14</v>
      </c>
      <c r="AJ29" s="8" t="s">
        <v>14</v>
      </c>
      <c r="AK29" s="8">
        <v>100</v>
      </c>
      <c r="AL29" s="9"/>
    </row>
    <row r="30" spans="1:39" s="38" customFormat="1" x14ac:dyDescent="0.25">
      <c r="A30" s="42" t="s">
        <v>102</v>
      </c>
      <c r="B30" s="43" t="s">
        <v>94</v>
      </c>
      <c r="C30" s="50">
        <v>2006</v>
      </c>
      <c r="D30" s="44" t="s">
        <v>14</v>
      </c>
      <c r="E30" s="50">
        <f xml:space="preserve"> 61+39</f>
        <v>100</v>
      </c>
      <c r="F30" s="19" t="s">
        <v>204</v>
      </c>
      <c r="G30" s="14" t="s">
        <v>25</v>
      </c>
      <c r="H30" s="19" t="s">
        <v>79</v>
      </c>
      <c r="I30" s="19" t="s">
        <v>80</v>
      </c>
      <c r="J30" s="74" t="s">
        <v>128</v>
      </c>
      <c r="K30" s="70" t="s">
        <v>110</v>
      </c>
      <c r="L30" s="71" t="s">
        <v>112</v>
      </c>
      <c r="M30" s="69">
        <v>250</v>
      </c>
      <c r="N30" s="72">
        <v>250</v>
      </c>
      <c r="O30" s="69">
        <v>-250</v>
      </c>
      <c r="P30" s="72">
        <v>-250</v>
      </c>
      <c r="Q30" s="72">
        <v>10</v>
      </c>
      <c r="R30" s="72">
        <v>10</v>
      </c>
      <c r="S30" s="72">
        <v>10</v>
      </c>
      <c r="T30" s="72">
        <v>10</v>
      </c>
      <c r="U30" s="73">
        <v>0.5</v>
      </c>
      <c r="V30" s="73">
        <v>0.1</v>
      </c>
      <c r="W30" s="73">
        <v>0.5</v>
      </c>
      <c r="X30" s="75">
        <v>0.1</v>
      </c>
      <c r="Y30" s="19" t="s">
        <v>129</v>
      </c>
      <c r="Z30" s="26">
        <v>2</v>
      </c>
      <c r="AA30" s="8" t="s">
        <v>150</v>
      </c>
      <c r="AB30" s="8" t="s">
        <v>140</v>
      </c>
      <c r="AC30" s="8" t="s">
        <v>141</v>
      </c>
      <c r="AD30" s="8" t="s">
        <v>142</v>
      </c>
      <c r="AE30" s="8" t="s">
        <v>14</v>
      </c>
      <c r="AF30" s="8" t="s">
        <v>14</v>
      </c>
      <c r="AG30" s="8" t="s">
        <v>144</v>
      </c>
      <c r="AH30" s="8">
        <v>5</v>
      </c>
      <c r="AI30" s="8" t="s">
        <v>14</v>
      </c>
      <c r="AJ30" s="8" t="s">
        <v>14</v>
      </c>
      <c r="AK30" s="8">
        <v>100</v>
      </c>
      <c r="AL30" s="9"/>
    </row>
    <row r="31" spans="1:39" s="38" customFormat="1" x14ac:dyDescent="0.25">
      <c r="A31" s="42" t="s">
        <v>102</v>
      </c>
      <c r="B31" s="43" t="s">
        <v>94</v>
      </c>
      <c r="C31" s="50">
        <v>2006</v>
      </c>
      <c r="D31" s="44" t="s">
        <v>14</v>
      </c>
      <c r="E31" s="50">
        <f xml:space="preserve"> 61+39</f>
        <v>100</v>
      </c>
      <c r="F31" s="19" t="s">
        <v>204</v>
      </c>
      <c r="G31" s="14" t="s">
        <v>25</v>
      </c>
      <c r="H31" s="19" t="s">
        <v>79</v>
      </c>
      <c r="I31" s="19" t="s">
        <v>80</v>
      </c>
      <c r="J31" s="74" t="s">
        <v>128</v>
      </c>
      <c r="K31" s="70" t="s">
        <v>110</v>
      </c>
      <c r="L31" s="71" t="s">
        <v>112</v>
      </c>
      <c r="M31" s="69">
        <v>250</v>
      </c>
      <c r="N31" s="72">
        <v>250</v>
      </c>
      <c r="O31" s="69">
        <v>-250</v>
      </c>
      <c r="P31" s="72">
        <v>-250</v>
      </c>
      <c r="Q31" s="72">
        <v>10</v>
      </c>
      <c r="R31" s="72">
        <v>10</v>
      </c>
      <c r="S31" s="72">
        <v>10</v>
      </c>
      <c r="T31" s="72">
        <v>10</v>
      </c>
      <c r="U31" s="73">
        <v>0.5</v>
      </c>
      <c r="V31" s="73">
        <v>0.1</v>
      </c>
      <c r="W31" s="73">
        <v>0.5</v>
      </c>
      <c r="X31" s="75">
        <v>0.1</v>
      </c>
      <c r="Y31" s="19" t="s">
        <v>129</v>
      </c>
      <c r="Z31" s="26">
        <v>3</v>
      </c>
      <c r="AA31" s="8"/>
      <c r="AB31" s="8" t="s">
        <v>155</v>
      </c>
      <c r="AC31" s="56" t="s">
        <v>164</v>
      </c>
      <c r="AD31" s="8" t="s">
        <v>14</v>
      </c>
      <c r="AE31" s="8" t="s">
        <v>14</v>
      </c>
      <c r="AF31" s="8" t="s">
        <v>14</v>
      </c>
      <c r="AG31" s="56" t="s">
        <v>14</v>
      </c>
      <c r="AH31" s="8" t="s">
        <v>14</v>
      </c>
      <c r="AI31" s="8" t="s">
        <v>14</v>
      </c>
      <c r="AJ31" s="8" t="s">
        <v>14</v>
      </c>
      <c r="AK31" s="8">
        <v>100</v>
      </c>
      <c r="AL31" s="9"/>
    </row>
    <row r="32" spans="1:39" s="38" customFormat="1" x14ac:dyDescent="0.25">
      <c r="A32" s="42" t="s">
        <v>102</v>
      </c>
      <c r="B32" s="43" t="s">
        <v>94</v>
      </c>
      <c r="C32" s="50">
        <v>2006</v>
      </c>
      <c r="D32" s="44" t="s">
        <v>14</v>
      </c>
      <c r="E32" s="50">
        <f xml:space="preserve"> 61+39</f>
        <v>100</v>
      </c>
      <c r="F32" s="19" t="s">
        <v>204</v>
      </c>
      <c r="G32" s="14" t="s">
        <v>25</v>
      </c>
      <c r="H32" s="19" t="s">
        <v>79</v>
      </c>
      <c r="I32" s="19" t="s">
        <v>80</v>
      </c>
      <c r="J32" s="74" t="s">
        <v>128</v>
      </c>
      <c r="K32" s="70" t="s">
        <v>110</v>
      </c>
      <c r="L32" s="71" t="s">
        <v>112</v>
      </c>
      <c r="M32" s="69">
        <v>250</v>
      </c>
      <c r="N32" s="72">
        <v>250</v>
      </c>
      <c r="O32" s="69">
        <v>-250</v>
      </c>
      <c r="P32" s="72">
        <v>-250</v>
      </c>
      <c r="Q32" s="72">
        <v>10</v>
      </c>
      <c r="R32" s="72">
        <v>10</v>
      </c>
      <c r="S32" s="72">
        <v>10</v>
      </c>
      <c r="T32" s="72">
        <v>10</v>
      </c>
      <c r="U32" s="73">
        <v>0.5</v>
      </c>
      <c r="V32" s="73">
        <v>0.1</v>
      </c>
      <c r="W32" s="73">
        <v>0.5</v>
      </c>
      <c r="X32" s="75">
        <v>0.1</v>
      </c>
      <c r="Y32" s="19" t="s">
        <v>129</v>
      </c>
      <c r="Z32" s="26">
        <v>4</v>
      </c>
      <c r="AA32" s="8"/>
      <c r="AB32" s="8" t="s">
        <v>156</v>
      </c>
      <c r="AC32" s="56" t="s">
        <v>164</v>
      </c>
      <c r="AD32" s="8" t="s">
        <v>14</v>
      </c>
      <c r="AE32" s="8" t="s">
        <v>14</v>
      </c>
      <c r="AF32" s="8" t="s">
        <v>14</v>
      </c>
      <c r="AG32" s="56" t="s">
        <v>14</v>
      </c>
      <c r="AH32" s="8" t="s">
        <v>14</v>
      </c>
      <c r="AI32" s="8" t="s">
        <v>14</v>
      </c>
      <c r="AJ32" s="8" t="s">
        <v>14</v>
      </c>
      <c r="AK32" s="8">
        <v>100</v>
      </c>
      <c r="AL32" s="9"/>
    </row>
    <row r="33" spans="1:39" s="38" customFormat="1" x14ac:dyDescent="0.25">
      <c r="A33" s="42" t="s">
        <v>102</v>
      </c>
      <c r="B33" s="43" t="s">
        <v>94</v>
      </c>
      <c r="C33" s="50">
        <v>2006</v>
      </c>
      <c r="D33" s="44" t="s">
        <v>14</v>
      </c>
      <c r="E33" s="50">
        <f xml:space="preserve"> 61+39</f>
        <v>100</v>
      </c>
      <c r="F33" s="19" t="s">
        <v>204</v>
      </c>
      <c r="G33" s="14" t="s">
        <v>25</v>
      </c>
      <c r="H33" s="19" t="s">
        <v>79</v>
      </c>
      <c r="I33" s="19" t="s">
        <v>80</v>
      </c>
      <c r="J33" s="74" t="s">
        <v>128</v>
      </c>
      <c r="K33" s="70" t="s">
        <v>110</v>
      </c>
      <c r="L33" s="71" t="s">
        <v>112</v>
      </c>
      <c r="M33" s="69">
        <v>250</v>
      </c>
      <c r="N33" s="72">
        <v>250</v>
      </c>
      <c r="O33" s="69">
        <v>-250</v>
      </c>
      <c r="P33" s="72">
        <v>-250</v>
      </c>
      <c r="Q33" s="72">
        <v>10</v>
      </c>
      <c r="R33" s="72">
        <v>10</v>
      </c>
      <c r="S33" s="72">
        <v>10</v>
      </c>
      <c r="T33" s="72">
        <v>10</v>
      </c>
      <c r="U33" s="73">
        <v>0.5</v>
      </c>
      <c r="V33" s="73">
        <v>0.1</v>
      </c>
      <c r="W33" s="73">
        <v>0.5</v>
      </c>
      <c r="X33" s="75">
        <v>0.1</v>
      </c>
      <c r="Y33" s="19" t="s">
        <v>129</v>
      </c>
      <c r="Z33" s="26">
        <v>4</v>
      </c>
      <c r="AA33" s="8"/>
      <c r="AB33" s="8" t="s">
        <v>262</v>
      </c>
      <c r="AC33" s="56" t="s">
        <v>164</v>
      </c>
      <c r="AD33" s="8" t="s">
        <v>14</v>
      </c>
      <c r="AE33" s="8" t="s">
        <v>14</v>
      </c>
      <c r="AF33" s="8" t="s">
        <v>14</v>
      </c>
      <c r="AG33" s="56" t="s">
        <v>14</v>
      </c>
      <c r="AH33" s="8" t="s">
        <v>14</v>
      </c>
      <c r="AI33" s="8" t="s">
        <v>14</v>
      </c>
      <c r="AJ33" s="8" t="s">
        <v>14</v>
      </c>
      <c r="AK33" s="8">
        <v>100</v>
      </c>
      <c r="AL33" s="9"/>
    </row>
    <row r="34" spans="1:39" s="38" customFormat="1" x14ac:dyDescent="0.25">
      <c r="A34" s="40" t="s">
        <v>214</v>
      </c>
      <c r="B34" s="41" t="s">
        <v>215</v>
      </c>
      <c r="C34" s="51">
        <v>2006</v>
      </c>
      <c r="D34" s="41" t="s">
        <v>14</v>
      </c>
      <c r="E34" s="51">
        <v>100</v>
      </c>
      <c r="F34" s="57" t="s">
        <v>204</v>
      </c>
      <c r="G34" s="57" t="s">
        <v>25</v>
      </c>
      <c r="H34" s="57" t="s">
        <v>79</v>
      </c>
      <c r="I34" s="57" t="s">
        <v>80</v>
      </c>
      <c r="J34" s="56" t="s">
        <v>25</v>
      </c>
      <c r="K34" s="56" t="s">
        <v>25</v>
      </c>
      <c r="L34" s="56" t="s">
        <v>25</v>
      </c>
      <c r="M34" s="56" t="s">
        <v>25</v>
      </c>
      <c r="N34" s="56" t="s">
        <v>25</v>
      </c>
      <c r="O34" s="56" t="s">
        <v>25</v>
      </c>
      <c r="P34" s="56" t="s">
        <v>25</v>
      </c>
      <c r="Q34" s="56" t="s">
        <v>25</v>
      </c>
      <c r="R34" s="56" t="s">
        <v>25</v>
      </c>
      <c r="S34" s="56" t="s">
        <v>25</v>
      </c>
      <c r="T34" s="56" t="s">
        <v>25</v>
      </c>
      <c r="U34" s="56" t="s">
        <v>25</v>
      </c>
      <c r="V34" s="56" t="s">
        <v>25</v>
      </c>
      <c r="W34" s="56" t="s">
        <v>25</v>
      </c>
      <c r="X34" s="56" t="s">
        <v>25</v>
      </c>
      <c r="Y34" s="57" t="s">
        <v>216</v>
      </c>
      <c r="Z34" s="67">
        <v>1</v>
      </c>
      <c r="AA34" s="67">
        <v>1</v>
      </c>
      <c r="AB34" s="67" t="s">
        <v>174</v>
      </c>
      <c r="AC34" s="67" t="s">
        <v>141</v>
      </c>
      <c r="AD34" s="67" t="s">
        <v>142</v>
      </c>
      <c r="AE34" s="67" t="s">
        <v>14</v>
      </c>
      <c r="AF34" s="67" t="s">
        <v>14</v>
      </c>
      <c r="AG34" s="67" t="s">
        <v>143</v>
      </c>
      <c r="AH34" s="67" t="s">
        <v>14</v>
      </c>
      <c r="AI34" s="67" t="s">
        <v>14</v>
      </c>
      <c r="AJ34" s="67" t="s">
        <v>14</v>
      </c>
      <c r="AK34" s="67"/>
      <c r="AL34" s="67"/>
      <c r="AM34" s="38" t="s">
        <v>217</v>
      </c>
    </row>
    <row r="35" spans="1:39" s="38" customFormat="1" x14ac:dyDescent="0.25">
      <c r="A35" s="40" t="s">
        <v>214</v>
      </c>
      <c r="B35" s="41" t="s">
        <v>215</v>
      </c>
      <c r="C35" s="51">
        <v>2006</v>
      </c>
      <c r="D35" s="41" t="s">
        <v>14</v>
      </c>
      <c r="E35" s="51">
        <v>100</v>
      </c>
      <c r="F35" s="57" t="s">
        <v>204</v>
      </c>
      <c r="G35" s="57" t="s">
        <v>25</v>
      </c>
      <c r="H35" s="57" t="s">
        <v>79</v>
      </c>
      <c r="I35" s="57" t="s">
        <v>80</v>
      </c>
      <c r="J35" s="56" t="s">
        <v>25</v>
      </c>
      <c r="K35" s="56" t="s">
        <v>25</v>
      </c>
      <c r="L35" s="56" t="s">
        <v>25</v>
      </c>
      <c r="M35" s="56" t="s">
        <v>25</v>
      </c>
      <c r="N35" s="56" t="s">
        <v>25</v>
      </c>
      <c r="O35" s="56" t="s">
        <v>25</v>
      </c>
      <c r="P35" s="56" t="s">
        <v>25</v>
      </c>
      <c r="Q35" s="56" t="s">
        <v>25</v>
      </c>
      <c r="R35" s="56" t="s">
        <v>25</v>
      </c>
      <c r="S35" s="56" t="s">
        <v>25</v>
      </c>
      <c r="T35" s="56" t="s">
        <v>25</v>
      </c>
      <c r="U35" s="56" t="s">
        <v>25</v>
      </c>
      <c r="V35" s="56" t="s">
        <v>25</v>
      </c>
      <c r="W35" s="56" t="s">
        <v>25</v>
      </c>
      <c r="X35" s="56" t="s">
        <v>25</v>
      </c>
      <c r="Y35" s="57" t="s">
        <v>216</v>
      </c>
      <c r="Z35" s="67">
        <v>2</v>
      </c>
      <c r="AA35" s="67" t="s">
        <v>175</v>
      </c>
      <c r="AB35" s="67" t="s">
        <v>218</v>
      </c>
      <c r="AC35" s="56" t="s">
        <v>141</v>
      </c>
      <c r="AD35" s="67" t="s">
        <v>14</v>
      </c>
      <c r="AE35" s="67" t="s">
        <v>14</v>
      </c>
      <c r="AF35" s="67" t="s">
        <v>14</v>
      </c>
      <c r="AG35" s="56" t="s">
        <v>143</v>
      </c>
      <c r="AH35" s="67" t="s">
        <v>14</v>
      </c>
      <c r="AI35" s="67" t="s">
        <v>14</v>
      </c>
      <c r="AJ35" s="67" t="s">
        <v>14</v>
      </c>
      <c r="AK35" s="67"/>
      <c r="AL35" s="67"/>
    </row>
    <row r="36" spans="1:39" s="38" customFormat="1" x14ac:dyDescent="0.25">
      <c r="A36" s="40" t="s">
        <v>214</v>
      </c>
      <c r="B36" s="41" t="s">
        <v>215</v>
      </c>
      <c r="C36" s="51">
        <v>2006</v>
      </c>
      <c r="D36" s="41" t="s">
        <v>14</v>
      </c>
      <c r="E36" s="51">
        <v>100</v>
      </c>
      <c r="F36" s="57" t="s">
        <v>204</v>
      </c>
      <c r="G36" s="57" t="s">
        <v>25</v>
      </c>
      <c r="H36" s="57" t="s">
        <v>79</v>
      </c>
      <c r="I36" s="57" t="s">
        <v>80</v>
      </c>
      <c r="J36" s="56" t="s">
        <v>25</v>
      </c>
      <c r="K36" s="56" t="s">
        <v>25</v>
      </c>
      <c r="L36" s="56" t="s">
        <v>25</v>
      </c>
      <c r="M36" s="56" t="s">
        <v>25</v>
      </c>
      <c r="N36" s="56" t="s">
        <v>25</v>
      </c>
      <c r="O36" s="56" t="s">
        <v>25</v>
      </c>
      <c r="P36" s="56" t="s">
        <v>25</v>
      </c>
      <c r="Q36" s="56" t="s">
        <v>25</v>
      </c>
      <c r="R36" s="56" t="s">
        <v>25</v>
      </c>
      <c r="S36" s="56" t="s">
        <v>25</v>
      </c>
      <c r="T36" s="56" t="s">
        <v>25</v>
      </c>
      <c r="U36" s="56" t="s">
        <v>25</v>
      </c>
      <c r="V36" s="56" t="s">
        <v>25</v>
      </c>
      <c r="W36" s="56" t="s">
        <v>25</v>
      </c>
      <c r="X36" s="56" t="s">
        <v>25</v>
      </c>
      <c r="Y36" s="57" t="s">
        <v>216</v>
      </c>
      <c r="Z36" s="67">
        <v>3</v>
      </c>
      <c r="AA36" s="67" t="s">
        <v>175</v>
      </c>
      <c r="AB36" s="67" t="s">
        <v>219</v>
      </c>
      <c r="AC36" s="56" t="s">
        <v>141</v>
      </c>
      <c r="AD36" s="67" t="s">
        <v>14</v>
      </c>
      <c r="AE36" s="67" t="s">
        <v>14</v>
      </c>
      <c r="AF36" s="67" t="s">
        <v>14</v>
      </c>
      <c r="AG36" s="56" t="s">
        <v>143</v>
      </c>
      <c r="AH36" s="67" t="s">
        <v>14</v>
      </c>
      <c r="AI36" s="67" t="s">
        <v>14</v>
      </c>
      <c r="AJ36" s="67" t="s">
        <v>14</v>
      </c>
      <c r="AK36" s="67"/>
      <c r="AL36" s="67"/>
    </row>
    <row r="37" spans="1:39" s="38" customFormat="1" x14ac:dyDescent="0.25">
      <c r="A37" s="40" t="s">
        <v>214</v>
      </c>
      <c r="B37" s="41" t="s">
        <v>215</v>
      </c>
      <c r="C37" s="51">
        <v>2006</v>
      </c>
      <c r="D37" s="41" t="s">
        <v>14</v>
      </c>
      <c r="E37" s="51">
        <v>100</v>
      </c>
      <c r="F37" s="57" t="s">
        <v>204</v>
      </c>
      <c r="G37" s="57" t="s">
        <v>25</v>
      </c>
      <c r="H37" s="57" t="s">
        <v>79</v>
      </c>
      <c r="I37" s="57" t="s">
        <v>80</v>
      </c>
      <c r="J37" s="56" t="s">
        <v>25</v>
      </c>
      <c r="K37" s="56" t="s">
        <v>25</v>
      </c>
      <c r="L37" s="56" t="s">
        <v>25</v>
      </c>
      <c r="M37" s="56" t="s">
        <v>25</v>
      </c>
      <c r="N37" s="56" t="s">
        <v>25</v>
      </c>
      <c r="O37" s="56" t="s">
        <v>25</v>
      </c>
      <c r="P37" s="56" t="s">
        <v>25</v>
      </c>
      <c r="Q37" s="56" t="s">
        <v>25</v>
      </c>
      <c r="R37" s="56" t="s">
        <v>25</v>
      </c>
      <c r="S37" s="56" t="s">
        <v>25</v>
      </c>
      <c r="T37" s="56" t="s">
        <v>25</v>
      </c>
      <c r="U37" s="56" t="s">
        <v>25</v>
      </c>
      <c r="V37" s="56" t="s">
        <v>25</v>
      </c>
      <c r="W37" s="56" t="s">
        <v>25</v>
      </c>
      <c r="X37" s="56" t="s">
        <v>25</v>
      </c>
      <c r="Y37" s="57" t="s">
        <v>216</v>
      </c>
      <c r="Z37" s="67">
        <v>4</v>
      </c>
      <c r="AA37" s="67" t="s">
        <v>175</v>
      </c>
      <c r="AB37" s="67" t="s">
        <v>220</v>
      </c>
      <c r="AC37" s="56" t="s">
        <v>141</v>
      </c>
      <c r="AD37" s="67" t="s">
        <v>14</v>
      </c>
      <c r="AE37" s="67" t="s">
        <v>14</v>
      </c>
      <c r="AF37" s="67" t="s">
        <v>14</v>
      </c>
      <c r="AG37" s="56" t="s">
        <v>143</v>
      </c>
      <c r="AH37" s="67" t="s">
        <v>14</v>
      </c>
      <c r="AI37" s="67" t="s">
        <v>14</v>
      </c>
      <c r="AJ37" s="67" t="s">
        <v>14</v>
      </c>
      <c r="AK37" s="67"/>
      <c r="AL37" s="67"/>
    </row>
    <row r="38" spans="1:39" s="38" customFormat="1" x14ac:dyDescent="0.25">
      <c r="A38" s="40" t="s">
        <v>214</v>
      </c>
      <c r="B38" s="41" t="s">
        <v>215</v>
      </c>
      <c r="C38" s="51">
        <v>2006</v>
      </c>
      <c r="D38" s="41" t="s">
        <v>14</v>
      </c>
      <c r="E38" s="51">
        <v>100</v>
      </c>
      <c r="F38" s="57" t="s">
        <v>204</v>
      </c>
      <c r="G38" s="57" t="s">
        <v>25</v>
      </c>
      <c r="H38" s="57" t="s">
        <v>79</v>
      </c>
      <c r="I38" s="57" t="s">
        <v>80</v>
      </c>
      <c r="J38" s="56" t="s">
        <v>25</v>
      </c>
      <c r="K38" s="56" t="s">
        <v>25</v>
      </c>
      <c r="L38" s="56" t="s">
        <v>25</v>
      </c>
      <c r="M38" s="56" t="s">
        <v>25</v>
      </c>
      <c r="N38" s="56" t="s">
        <v>25</v>
      </c>
      <c r="O38" s="56" t="s">
        <v>25</v>
      </c>
      <c r="P38" s="56" t="s">
        <v>25</v>
      </c>
      <c r="Q38" s="56" t="s">
        <v>25</v>
      </c>
      <c r="R38" s="56" t="s">
        <v>25</v>
      </c>
      <c r="S38" s="56" t="s">
        <v>25</v>
      </c>
      <c r="T38" s="56" t="s">
        <v>25</v>
      </c>
      <c r="U38" s="56" t="s">
        <v>25</v>
      </c>
      <c r="V38" s="56" t="s">
        <v>25</v>
      </c>
      <c r="W38" s="56" t="s">
        <v>25</v>
      </c>
      <c r="X38" s="56" t="s">
        <v>25</v>
      </c>
      <c r="Y38" s="57" t="s">
        <v>216</v>
      </c>
      <c r="Z38" s="67">
        <v>5</v>
      </c>
      <c r="AA38" s="67">
        <v>2</v>
      </c>
      <c r="AB38" s="67" t="s">
        <v>178</v>
      </c>
      <c r="AC38" s="67" t="s">
        <v>141</v>
      </c>
      <c r="AD38" s="67" t="s">
        <v>142</v>
      </c>
      <c r="AE38" s="67" t="s">
        <v>14</v>
      </c>
      <c r="AF38" s="67" t="s">
        <v>14</v>
      </c>
      <c r="AG38" s="67" t="s">
        <v>144</v>
      </c>
      <c r="AH38" s="67" t="s">
        <v>179</v>
      </c>
      <c r="AI38" s="67" t="s">
        <v>14</v>
      </c>
      <c r="AJ38" s="67" t="s">
        <v>14</v>
      </c>
      <c r="AK38" s="67"/>
      <c r="AL38" s="67"/>
    </row>
    <row r="39" spans="1:39" s="38" customFormat="1" x14ac:dyDescent="0.25">
      <c r="A39" s="42" t="s">
        <v>103</v>
      </c>
      <c r="B39" s="43" t="s">
        <v>95</v>
      </c>
      <c r="C39" s="50">
        <v>2019</v>
      </c>
      <c r="D39" s="44" t="s">
        <v>14</v>
      </c>
      <c r="E39" s="50">
        <v>71</v>
      </c>
      <c r="F39" s="19" t="s">
        <v>25</v>
      </c>
      <c r="G39" s="14" t="s">
        <v>75</v>
      </c>
      <c r="H39" s="19" t="s">
        <v>79</v>
      </c>
      <c r="I39" s="19" t="s">
        <v>25</v>
      </c>
      <c r="J39" s="14" t="s">
        <v>25</v>
      </c>
      <c r="K39" s="16" t="s">
        <v>83</v>
      </c>
      <c r="L39" s="17" t="s">
        <v>84</v>
      </c>
      <c r="M39" s="14" t="s">
        <v>25</v>
      </c>
      <c r="N39" s="19" t="s">
        <v>25</v>
      </c>
      <c r="O39" s="14" t="s">
        <v>25</v>
      </c>
      <c r="P39" s="19" t="s">
        <v>25</v>
      </c>
      <c r="Q39" s="21" t="s">
        <v>25</v>
      </c>
      <c r="R39" s="21" t="s">
        <v>25</v>
      </c>
      <c r="S39" s="21" t="s">
        <v>25</v>
      </c>
      <c r="T39" s="21" t="s">
        <v>25</v>
      </c>
      <c r="U39" s="14" t="s">
        <v>25</v>
      </c>
      <c r="V39" s="14" t="s">
        <v>25</v>
      </c>
      <c r="W39" s="14" t="s">
        <v>25</v>
      </c>
      <c r="X39" s="19" t="s">
        <v>25</v>
      </c>
      <c r="Y39" s="19"/>
      <c r="Z39" s="26">
        <v>1</v>
      </c>
      <c r="AA39" s="8" t="s">
        <v>150</v>
      </c>
      <c r="AB39" s="8" t="s">
        <v>140</v>
      </c>
      <c r="AC39" s="8" t="s">
        <v>141</v>
      </c>
      <c r="AD39" s="8" t="s">
        <v>142</v>
      </c>
      <c r="AE39" s="8" t="s">
        <v>14</v>
      </c>
      <c r="AF39" s="8" t="s">
        <v>14</v>
      </c>
      <c r="AG39" s="8" t="s">
        <v>144</v>
      </c>
      <c r="AH39" s="8">
        <v>5</v>
      </c>
      <c r="AI39" s="8" t="s">
        <v>14</v>
      </c>
      <c r="AJ39" s="8" t="s">
        <v>14</v>
      </c>
      <c r="AK39" s="8">
        <v>100</v>
      </c>
      <c r="AL39" s="9"/>
    </row>
    <row r="40" spans="1:39" s="38" customFormat="1" x14ac:dyDescent="0.25">
      <c r="A40" s="40" t="s">
        <v>221</v>
      </c>
      <c r="B40" s="41" t="s">
        <v>222</v>
      </c>
      <c r="C40" s="51">
        <v>2019</v>
      </c>
      <c r="D40" s="41" t="s">
        <v>14</v>
      </c>
      <c r="E40" s="51">
        <v>71</v>
      </c>
      <c r="F40" s="57" t="s">
        <v>25</v>
      </c>
      <c r="G40" s="57" t="s">
        <v>223</v>
      </c>
      <c r="H40" s="57" t="s">
        <v>79</v>
      </c>
      <c r="I40" s="57" t="s">
        <v>25</v>
      </c>
      <c r="J40" s="57" t="s">
        <v>25</v>
      </c>
      <c r="K40" s="57" t="s">
        <v>83</v>
      </c>
      <c r="L40" s="57" t="s">
        <v>84</v>
      </c>
      <c r="M40" s="57" t="s">
        <v>25</v>
      </c>
      <c r="N40" s="57" t="s">
        <v>25</v>
      </c>
      <c r="O40" s="57" t="s">
        <v>25</v>
      </c>
      <c r="P40" s="57" t="s">
        <v>25</v>
      </c>
      <c r="Q40" s="57" t="s">
        <v>25</v>
      </c>
      <c r="R40" s="57" t="s">
        <v>25</v>
      </c>
      <c r="S40" s="57" t="s">
        <v>25</v>
      </c>
      <c r="T40" s="57" t="s">
        <v>25</v>
      </c>
      <c r="U40" s="57" t="s">
        <v>25</v>
      </c>
      <c r="V40" s="57" t="s">
        <v>25</v>
      </c>
      <c r="W40" s="57" t="s">
        <v>25</v>
      </c>
      <c r="X40" s="57" t="s">
        <v>25</v>
      </c>
      <c r="Y40" s="57" t="s">
        <v>224</v>
      </c>
      <c r="Z40" s="67">
        <v>1</v>
      </c>
      <c r="AA40" s="67">
        <v>2</v>
      </c>
      <c r="AB40" s="67" t="s">
        <v>178</v>
      </c>
      <c r="AC40" s="67" t="s">
        <v>141</v>
      </c>
      <c r="AD40" s="67" t="s">
        <v>142</v>
      </c>
      <c r="AE40" s="67" t="s">
        <v>14</v>
      </c>
      <c r="AF40" s="67" t="s">
        <v>14</v>
      </c>
      <c r="AG40" s="67" t="s">
        <v>144</v>
      </c>
      <c r="AH40" s="67" t="s">
        <v>179</v>
      </c>
      <c r="AI40" s="67" t="s">
        <v>14</v>
      </c>
      <c r="AJ40" s="67" t="s">
        <v>14</v>
      </c>
      <c r="AK40" s="67"/>
      <c r="AL40" s="67"/>
    </row>
    <row r="41" spans="1:39" s="38" customFormat="1" x14ac:dyDescent="0.25">
      <c r="A41" s="42" t="s">
        <v>104</v>
      </c>
      <c r="B41" s="43" t="s">
        <v>96</v>
      </c>
      <c r="C41" s="50">
        <v>2008</v>
      </c>
      <c r="D41" s="44" t="s">
        <v>14</v>
      </c>
      <c r="E41" s="50">
        <v>81</v>
      </c>
      <c r="F41" s="19" t="s">
        <v>204</v>
      </c>
      <c r="G41" s="69" t="s">
        <v>25</v>
      </c>
      <c r="H41" s="19" t="s">
        <v>79</v>
      </c>
      <c r="I41" s="19" t="s">
        <v>80</v>
      </c>
      <c r="J41" s="14" t="s">
        <v>25</v>
      </c>
      <c r="K41" s="16" t="s">
        <v>111</v>
      </c>
      <c r="L41" s="17" t="s">
        <v>113</v>
      </c>
      <c r="M41" s="14" t="s">
        <v>132</v>
      </c>
      <c r="N41" s="19" t="s">
        <v>132</v>
      </c>
      <c r="O41" s="17" t="s">
        <v>133</v>
      </c>
      <c r="P41" s="20" t="s">
        <v>133</v>
      </c>
      <c r="Q41" s="21">
        <v>15</v>
      </c>
      <c r="R41" s="21">
        <v>11</v>
      </c>
      <c r="S41" s="21">
        <v>15</v>
      </c>
      <c r="T41" s="21">
        <v>11</v>
      </c>
      <c r="U41" s="64">
        <v>0.33329999999999999</v>
      </c>
      <c r="V41" s="18">
        <v>0.09</v>
      </c>
      <c r="W41" s="18">
        <v>0.33</v>
      </c>
      <c r="X41" s="22">
        <v>0.09</v>
      </c>
      <c r="Y41" s="19" t="s">
        <v>157</v>
      </c>
      <c r="Z41" s="26">
        <v>1</v>
      </c>
      <c r="AA41" s="8" t="s">
        <v>150</v>
      </c>
      <c r="AB41" s="8" t="s">
        <v>140</v>
      </c>
      <c r="AC41" s="8" t="s">
        <v>141</v>
      </c>
      <c r="AD41" s="8" t="s">
        <v>142</v>
      </c>
      <c r="AE41" s="8" t="s">
        <v>14</v>
      </c>
      <c r="AF41" s="8" t="s">
        <v>14</v>
      </c>
      <c r="AG41" s="8" t="s">
        <v>144</v>
      </c>
      <c r="AH41" s="8">
        <v>5</v>
      </c>
      <c r="AI41" s="8" t="s">
        <v>14</v>
      </c>
      <c r="AJ41" s="8" t="s">
        <v>14</v>
      </c>
      <c r="AK41" s="8">
        <v>100</v>
      </c>
      <c r="AL41" s="9"/>
    </row>
    <row r="42" spans="1:39" s="38" customFormat="1" x14ac:dyDescent="0.25">
      <c r="A42" s="42" t="s">
        <v>104</v>
      </c>
      <c r="B42" s="43" t="s">
        <v>96</v>
      </c>
      <c r="C42" s="50">
        <v>2008</v>
      </c>
      <c r="D42" s="44" t="s">
        <v>14</v>
      </c>
      <c r="E42" s="50">
        <v>81</v>
      </c>
      <c r="F42" s="19" t="s">
        <v>204</v>
      </c>
      <c r="G42" s="69" t="s">
        <v>25</v>
      </c>
      <c r="H42" s="19" t="s">
        <v>79</v>
      </c>
      <c r="I42" s="19" t="s">
        <v>80</v>
      </c>
      <c r="J42" s="14" t="s">
        <v>25</v>
      </c>
      <c r="K42" s="16" t="s">
        <v>111</v>
      </c>
      <c r="L42" s="17" t="s">
        <v>113</v>
      </c>
      <c r="M42" s="14" t="s">
        <v>132</v>
      </c>
      <c r="N42" s="19" t="s">
        <v>132</v>
      </c>
      <c r="O42" s="17" t="s">
        <v>133</v>
      </c>
      <c r="P42" s="20" t="s">
        <v>133</v>
      </c>
      <c r="Q42" s="21">
        <v>15</v>
      </c>
      <c r="R42" s="21">
        <v>11</v>
      </c>
      <c r="S42" s="21">
        <v>15</v>
      </c>
      <c r="T42" s="21">
        <v>11</v>
      </c>
      <c r="U42" s="64">
        <v>0.33</v>
      </c>
      <c r="V42" s="18">
        <v>0.09</v>
      </c>
      <c r="W42" s="18">
        <v>0.33</v>
      </c>
      <c r="X42" s="22">
        <v>0.09</v>
      </c>
      <c r="Y42" s="19" t="s">
        <v>157</v>
      </c>
      <c r="Z42" s="26">
        <v>2</v>
      </c>
      <c r="AA42" s="8"/>
      <c r="AB42" s="8" t="s">
        <v>161</v>
      </c>
      <c r="AC42" s="8" t="s">
        <v>158</v>
      </c>
      <c r="AD42" s="8" t="s">
        <v>14</v>
      </c>
      <c r="AE42" s="8" t="s">
        <v>14</v>
      </c>
      <c r="AF42" s="56" t="s">
        <v>159</v>
      </c>
      <c r="AG42" s="56" t="s">
        <v>14</v>
      </c>
      <c r="AH42" s="8" t="s">
        <v>14</v>
      </c>
      <c r="AI42" s="8" t="s">
        <v>14</v>
      </c>
      <c r="AJ42" s="8" t="s">
        <v>14</v>
      </c>
      <c r="AK42" s="8">
        <v>100</v>
      </c>
      <c r="AL42" s="8" t="s">
        <v>160</v>
      </c>
    </row>
    <row r="43" spans="1:39" s="38" customFormat="1" x14ac:dyDescent="0.25">
      <c r="A43" s="42" t="s">
        <v>104</v>
      </c>
      <c r="B43" s="43" t="s">
        <v>96</v>
      </c>
      <c r="C43" s="50">
        <v>2008</v>
      </c>
      <c r="D43" s="44" t="s">
        <v>14</v>
      </c>
      <c r="E43" s="50">
        <v>81</v>
      </c>
      <c r="F43" s="19" t="s">
        <v>204</v>
      </c>
      <c r="G43" s="69" t="s">
        <v>25</v>
      </c>
      <c r="H43" s="19" t="s">
        <v>79</v>
      </c>
      <c r="I43" s="19" t="s">
        <v>80</v>
      </c>
      <c r="J43" s="14" t="s">
        <v>25</v>
      </c>
      <c r="K43" s="16" t="s">
        <v>111</v>
      </c>
      <c r="L43" s="17" t="s">
        <v>113</v>
      </c>
      <c r="M43" s="14" t="s">
        <v>132</v>
      </c>
      <c r="N43" s="19" t="s">
        <v>132</v>
      </c>
      <c r="O43" s="17" t="s">
        <v>133</v>
      </c>
      <c r="P43" s="20" t="s">
        <v>133</v>
      </c>
      <c r="Q43" s="21">
        <v>15</v>
      </c>
      <c r="R43" s="21">
        <v>11</v>
      </c>
      <c r="S43" s="21">
        <v>15</v>
      </c>
      <c r="T43" s="21">
        <v>11</v>
      </c>
      <c r="U43" s="64">
        <v>0.33</v>
      </c>
      <c r="V43" s="18">
        <v>0.09</v>
      </c>
      <c r="W43" s="18">
        <v>0.33</v>
      </c>
      <c r="X43" s="22">
        <v>0.09</v>
      </c>
      <c r="Y43" s="19" t="s">
        <v>157</v>
      </c>
      <c r="Z43" s="26">
        <v>3</v>
      </c>
      <c r="AA43" s="8"/>
      <c r="AB43" s="8" t="s">
        <v>162</v>
      </c>
      <c r="AC43" s="8" t="s">
        <v>158</v>
      </c>
      <c r="AD43" s="8" t="s">
        <v>14</v>
      </c>
      <c r="AE43" s="8" t="s">
        <v>14</v>
      </c>
      <c r="AF43" s="56" t="s">
        <v>171</v>
      </c>
      <c r="AG43" s="56" t="s">
        <v>14</v>
      </c>
      <c r="AH43" s="8" t="s">
        <v>14</v>
      </c>
      <c r="AI43" s="8" t="s">
        <v>14</v>
      </c>
      <c r="AJ43" s="8" t="s">
        <v>14</v>
      </c>
      <c r="AK43" s="8">
        <v>100</v>
      </c>
      <c r="AL43" s="8" t="s">
        <v>160</v>
      </c>
    </row>
    <row r="44" spans="1:39" s="38" customFormat="1" x14ac:dyDescent="0.25">
      <c r="A44" s="40" t="s">
        <v>225</v>
      </c>
      <c r="B44" s="41" t="s">
        <v>226</v>
      </c>
      <c r="C44" s="51">
        <v>2008</v>
      </c>
      <c r="D44" s="41" t="s">
        <v>14</v>
      </c>
      <c r="E44" s="51">
        <v>81</v>
      </c>
      <c r="F44" s="57" t="s">
        <v>204</v>
      </c>
      <c r="G44" s="56" t="s">
        <v>75</v>
      </c>
      <c r="H44" s="57" t="s">
        <v>79</v>
      </c>
      <c r="I44" s="57" t="s">
        <v>80</v>
      </c>
      <c r="J44" s="57" t="s">
        <v>25</v>
      </c>
      <c r="K44" s="57" t="s">
        <v>111</v>
      </c>
      <c r="L44" s="57" t="s">
        <v>113</v>
      </c>
      <c r="M44" s="57" t="s">
        <v>132</v>
      </c>
      <c r="N44" s="57" t="s">
        <v>132</v>
      </c>
      <c r="O44" s="58" t="s">
        <v>133</v>
      </c>
      <c r="P44" s="58" t="s">
        <v>133</v>
      </c>
      <c r="Q44" s="61">
        <v>15</v>
      </c>
      <c r="R44" s="61">
        <v>11</v>
      </c>
      <c r="S44" s="61">
        <v>15</v>
      </c>
      <c r="T44" s="61">
        <v>11</v>
      </c>
      <c r="U44" s="63">
        <v>0.33333333333333331</v>
      </c>
      <c r="V44" s="63">
        <v>9.0909090909090898E-2</v>
      </c>
      <c r="W44" s="63">
        <v>0.33333333333333331</v>
      </c>
      <c r="X44" s="63">
        <v>9.0909090909090912E-2</v>
      </c>
      <c r="Y44" s="57" t="s">
        <v>227</v>
      </c>
      <c r="Z44" s="67">
        <v>1</v>
      </c>
      <c r="AA44" s="67">
        <v>2</v>
      </c>
      <c r="AB44" s="67" t="s">
        <v>178</v>
      </c>
      <c r="AC44" s="67" t="s">
        <v>141</v>
      </c>
      <c r="AD44" s="67" t="s">
        <v>142</v>
      </c>
      <c r="AE44" s="67" t="s">
        <v>14</v>
      </c>
      <c r="AF44" s="67" t="s">
        <v>14</v>
      </c>
      <c r="AG44" s="67" t="s">
        <v>144</v>
      </c>
      <c r="AH44" s="67" t="s">
        <v>179</v>
      </c>
      <c r="AI44" s="67" t="s">
        <v>14</v>
      </c>
      <c r="AJ44" s="67" t="s">
        <v>14</v>
      </c>
      <c r="AK44" s="67"/>
      <c r="AL44" s="67"/>
    </row>
    <row r="45" spans="1:39" s="38" customFormat="1" x14ac:dyDescent="0.25">
      <c r="A45" s="40" t="s">
        <v>225</v>
      </c>
      <c r="B45" s="41" t="s">
        <v>226</v>
      </c>
      <c r="C45" s="51">
        <v>2008</v>
      </c>
      <c r="D45" s="41" t="s">
        <v>14</v>
      </c>
      <c r="E45" s="51">
        <v>81</v>
      </c>
      <c r="F45" s="57" t="s">
        <v>204</v>
      </c>
      <c r="G45" s="56" t="s">
        <v>75</v>
      </c>
      <c r="H45" s="57" t="s">
        <v>79</v>
      </c>
      <c r="I45" s="57" t="s">
        <v>80</v>
      </c>
      <c r="J45" s="57" t="s">
        <v>25</v>
      </c>
      <c r="K45" s="57" t="s">
        <v>111</v>
      </c>
      <c r="L45" s="57" t="s">
        <v>113</v>
      </c>
      <c r="M45" s="57" t="s">
        <v>132</v>
      </c>
      <c r="N45" s="57" t="s">
        <v>132</v>
      </c>
      <c r="O45" s="58" t="s">
        <v>133</v>
      </c>
      <c r="P45" s="58" t="s">
        <v>133</v>
      </c>
      <c r="Q45" s="61">
        <v>15</v>
      </c>
      <c r="R45" s="61">
        <v>11</v>
      </c>
      <c r="S45" s="61">
        <v>15</v>
      </c>
      <c r="T45" s="61">
        <v>11</v>
      </c>
      <c r="U45" s="63">
        <v>0.33333333333333331</v>
      </c>
      <c r="V45" s="63">
        <v>9.0909090909090898E-2</v>
      </c>
      <c r="W45" s="63">
        <v>0.33333333333333331</v>
      </c>
      <c r="X45" s="63">
        <v>9.0909090909090898E-2</v>
      </c>
      <c r="Y45" s="57" t="s">
        <v>227</v>
      </c>
      <c r="Z45" s="67">
        <v>2</v>
      </c>
      <c r="AA45" s="67" t="s">
        <v>175</v>
      </c>
      <c r="AB45" s="67" t="s">
        <v>228</v>
      </c>
      <c r="AC45" s="67" t="s">
        <v>158</v>
      </c>
      <c r="AD45" s="67" t="s">
        <v>14</v>
      </c>
      <c r="AE45" s="67" t="s">
        <v>14</v>
      </c>
      <c r="AF45" s="56"/>
      <c r="AG45" s="56" t="s">
        <v>143</v>
      </c>
      <c r="AH45" s="67" t="s">
        <v>14</v>
      </c>
      <c r="AI45" s="67" t="s">
        <v>14</v>
      </c>
      <c r="AJ45" s="67" t="s">
        <v>14</v>
      </c>
      <c r="AK45" s="67"/>
      <c r="AL45" s="67"/>
      <c r="AM45" s="38" t="s">
        <v>229</v>
      </c>
    </row>
    <row r="46" spans="1:39" s="38" customFormat="1" x14ac:dyDescent="0.25">
      <c r="A46" s="40" t="s">
        <v>225</v>
      </c>
      <c r="B46" s="41" t="s">
        <v>226</v>
      </c>
      <c r="C46" s="51">
        <v>2008</v>
      </c>
      <c r="D46" s="41" t="s">
        <v>14</v>
      </c>
      <c r="E46" s="51">
        <v>81</v>
      </c>
      <c r="F46" s="57" t="s">
        <v>204</v>
      </c>
      <c r="G46" s="56" t="s">
        <v>75</v>
      </c>
      <c r="H46" s="57" t="s">
        <v>79</v>
      </c>
      <c r="I46" s="57" t="s">
        <v>80</v>
      </c>
      <c r="J46" s="57" t="s">
        <v>25</v>
      </c>
      <c r="K46" s="57" t="s">
        <v>111</v>
      </c>
      <c r="L46" s="57" t="s">
        <v>113</v>
      </c>
      <c r="M46" s="57" t="s">
        <v>132</v>
      </c>
      <c r="N46" s="57" t="s">
        <v>132</v>
      </c>
      <c r="O46" s="58" t="s">
        <v>133</v>
      </c>
      <c r="P46" s="58" t="s">
        <v>133</v>
      </c>
      <c r="Q46" s="61">
        <v>15</v>
      </c>
      <c r="R46" s="61">
        <v>11</v>
      </c>
      <c r="S46" s="61">
        <v>15</v>
      </c>
      <c r="T46" s="61">
        <v>11</v>
      </c>
      <c r="U46" s="63">
        <v>0.33333333333333331</v>
      </c>
      <c r="V46" s="63">
        <v>9.0909090909090898E-2</v>
      </c>
      <c r="W46" s="63">
        <v>0.33333333333333331</v>
      </c>
      <c r="X46" s="63">
        <v>9.0909090909090898E-2</v>
      </c>
      <c r="Y46" s="57" t="s">
        <v>227</v>
      </c>
      <c r="Z46" s="67">
        <v>3</v>
      </c>
      <c r="AA46" s="67" t="s">
        <v>175</v>
      </c>
      <c r="AB46" s="67" t="s">
        <v>230</v>
      </c>
      <c r="AC46" s="67" t="s">
        <v>158</v>
      </c>
      <c r="AD46" s="67" t="s">
        <v>14</v>
      </c>
      <c r="AE46" s="67" t="s">
        <v>14</v>
      </c>
      <c r="AF46" s="56"/>
      <c r="AG46" s="56" t="s">
        <v>143</v>
      </c>
      <c r="AH46" s="67" t="s">
        <v>14</v>
      </c>
      <c r="AI46" s="67" t="s">
        <v>14</v>
      </c>
      <c r="AJ46" s="67" t="s">
        <v>14</v>
      </c>
      <c r="AK46" s="67"/>
      <c r="AL46" s="67"/>
      <c r="AM46" s="38" t="s">
        <v>229</v>
      </c>
    </row>
    <row r="47" spans="1:39" s="38" customFormat="1" x14ac:dyDescent="0.25">
      <c r="A47" s="42" t="s">
        <v>105</v>
      </c>
      <c r="B47" s="43" t="s">
        <v>97</v>
      </c>
      <c r="C47" s="50">
        <v>2010</v>
      </c>
      <c r="D47" s="44" t="s">
        <v>14</v>
      </c>
      <c r="E47" s="50">
        <v>70</v>
      </c>
      <c r="F47" s="19" t="s">
        <v>116</v>
      </c>
      <c r="G47" s="14" t="s">
        <v>75</v>
      </c>
      <c r="H47" s="19" t="s">
        <v>76</v>
      </c>
      <c r="I47" s="19" t="s">
        <v>77</v>
      </c>
      <c r="J47" s="14" t="s">
        <v>81</v>
      </c>
      <c r="K47" s="16" t="s">
        <v>83</v>
      </c>
      <c r="L47" s="17" t="s">
        <v>84</v>
      </c>
      <c r="M47" s="16" t="s">
        <v>119</v>
      </c>
      <c r="N47" s="19" t="s">
        <v>119</v>
      </c>
      <c r="O47" s="17" t="s">
        <v>120</v>
      </c>
      <c r="P47" s="20" t="s">
        <v>120</v>
      </c>
      <c r="Q47" s="21">
        <v>10</v>
      </c>
      <c r="R47" s="21">
        <v>10</v>
      </c>
      <c r="S47" s="21">
        <v>10</v>
      </c>
      <c r="T47" s="21">
        <v>10</v>
      </c>
      <c r="U47" s="18">
        <v>0.5</v>
      </c>
      <c r="V47" s="18">
        <v>0.1</v>
      </c>
      <c r="W47" s="18">
        <v>0.5</v>
      </c>
      <c r="X47" s="22">
        <v>0.1</v>
      </c>
      <c r="Y47" s="19"/>
      <c r="Z47" s="26">
        <v>1</v>
      </c>
      <c r="AA47" s="8" t="s">
        <v>148</v>
      </c>
      <c r="AB47" s="8" t="s">
        <v>139</v>
      </c>
      <c r="AC47" s="8" t="s">
        <v>141</v>
      </c>
      <c r="AD47" s="8" t="s">
        <v>142</v>
      </c>
      <c r="AE47" s="8" t="s">
        <v>14</v>
      </c>
      <c r="AF47" s="8" t="s">
        <v>14</v>
      </c>
      <c r="AG47" s="8" t="s">
        <v>143</v>
      </c>
      <c r="AH47" s="8" t="s">
        <v>14</v>
      </c>
      <c r="AI47" s="8" t="s">
        <v>14</v>
      </c>
      <c r="AJ47" s="8" t="s">
        <v>14</v>
      </c>
      <c r="AK47" s="8">
        <v>100</v>
      </c>
      <c r="AL47" s="9"/>
    </row>
    <row r="48" spans="1:39" s="38" customFormat="1" x14ac:dyDescent="0.25">
      <c r="A48" s="42" t="s">
        <v>105</v>
      </c>
      <c r="B48" s="43" t="s">
        <v>97</v>
      </c>
      <c r="C48" s="50">
        <v>2010</v>
      </c>
      <c r="D48" s="44" t="s">
        <v>14</v>
      </c>
      <c r="E48" s="50">
        <v>70</v>
      </c>
      <c r="F48" s="19" t="s">
        <v>116</v>
      </c>
      <c r="G48" s="14" t="s">
        <v>75</v>
      </c>
      <c r="H48" s="19" t="s">
        <v>76</v>
      </c>
      <c r="I48" s="19" t="s">
        <v>77</v>
      </c>
      <c r="J48" s="14" t="s">
        <v>81</v>
      </c>
      <c r="K48" s="16" t="s">
        <v>83</v>
      </c>
      <c r="L48" s="17" t="s">
        <v>84</v>
      </c>
      <c r="M48" s="16" t="s">
        <v>119</v>
      </c>
      <c r="N48" s="19" t="s">
        <v>119</v>
      </c>
      <c r="O48" s="17" t="s">
        <v>120</v>
      </c>
      <c r="P48" s="20" t="s">
        <v>120</v>
      </c>
      <c r="Q48" s="21">
        <v>10</v>
      </c>
      <c r="R48" s="21">
        <v>10</v>
      </c>
      <c r="S48" s="21">
        <v>10</v>
      </c>
      <c r="T48" s="21">
        <v>10</v>
      </c>
      <c r="U48" s="18">
        <v>0.5</v>
      </c>
      <c r="V48" s="18">
        <v>0.1</v>
      </c>
      <c r="W48" s="18">
        <v>0.5</v>
      </c>
      <c r="X48" s="22">
        <v>0.1</v>
      </c>
      <c r="Y48" s="19"/>
      <c r="Z48" s="26">
        <v>2</v>
      </c>
      <c r="AA48" s="8" t="s">
        <v>150</v>
      </c>
      <c r="AB48" s="8" t="s">
        <v>140</v>
      </c>
      <c r="AC48" s="8" t="s">
        <v>141</v>
      </c>
      <c r="AD48" s="8" t="s">
        <v>142</v>
      </c>
      <c r="AE48" s="8" t="s">
        <v>14</v>
      </c>
      <c r="AF48" s="8" t="s">
        <v>14</v>
      </c>
      <c r="AG48" s="8" t="s">
        <v>144</v>
      </c>
      <c r="AH48" s="8">
        <v>5</v>
      </c>
      <c r="AI48" s="8" t="s">
        <v>14</v>
      </c>
      <c r="AJ48" s="8" t="s">
        <v>14</v>
      </c>
      <c r="AK48" s="8">
        <v>100</v>
      </c>
      <c r="AL48" s="9"/>
    </row>
    <row r="49" spans="1:39" s="38" customFormat="1" x14ac:dyDescent="0.25">
      <c r="A49" s="40" t="s">
        <v>231</v>
      </c>
      <c r="B49" s="41" t="s">
        <v>232</v>
      </c>
      <c r="C49" s="51">
        <v>2010</v>
      </c>
      <c r="D49" s="41" t="s">
        <v>14</v>
      </c>
      <c r="E49" s="51">
        <v>70</v>
      </c>
      <c r="F49" s="57" t="s">
        <v>233</v>
      </c>
      <c r="G49" s="57" t="s">
        <v>75</v>
      </c>
      <c r="H49" s="57" t="s">
        <v>76</v>
      </c>
      <c r="I49" s="57" t="s">
        <v>77</v>
      </c>
      <c r="J49" s="57" t="s">
        <v>81</v>
      </c>
      <c r="K49" s="57" t="s">
        <v>83</v>
      </c>
      <c r="L49" s="57" t="s">
        <v>84</v>
      </c>
      <c r="M49" s="57" t="s">
        <v>119</v>
      </c>
      <c r="N49" s="57" t="s">
        <v>119</v>
      </c>
      <c r="O49" s="58" t="s">
        <v>120</v>
      </c>
      <c r="P49" s="58" t="s">
        <v>120</v>
      </c>
      <c r="Q49" s="61">
        <v>10</v>
      </c>
      <c r="R49" s="61">
        <v>10</v>
      </c>
      <c r="S49" s="61">
        <v>10</v>
      </c>
      <c r="T49" s="61">
        <v>10</v>
      </c>
      <c r="U49" s="65">
        <v>0.5</v>
      </c>
      <c r="V49" s="65">
        <v>0.1</v>
      </c>
      <c r="W49" s="65">
        <v>0.5</v>
      </c>
      <c r="X49" s="65">
        <v>0.1</v>
      </c>
      <c r="Y49" s="57" t="s">
        <v>234</v>
      </c>
      <c r="Z49" s="67">
        <v>1</v>
      </c>
      <c r="AA49" s="67">
        <v>1</v>
      </c>
      <c r="AB49" s="67" t="s">
        <v>174</v>
      </c>
      <c r="AC49" s="67" t="s">
        <v>141</v>
      </c>
      <c r="AD49" s="67" t="s">
        <v>142</v>
      </c>
      <c r="AE49" s="67" t="s">
        <v>14</v>
      </c>
      <c r="AF49" s="67" t="s">
        <v>14</v>
      </c>
      <c r="AG49" s="67" t="s">
        <v>143</v>
      </c>
      <c r="AH49" s="67" t="s">
        <v>14</v>
      </c>
      <c r="AI49" s="67" t="s">
        <v>14</v>
      </c>
      <c r="AJ49" s="67" t="s">
        <v>14</v>
      </c>
      <c r="AK49" s="67"/>
      <c r="AL49" s="67"/>
    </row>
    <row r="50" spans="1:39" s="38" customFormat="1" x14ac:dyDescent="0.25">
      <c r="A50" s="40" t="s">
        <v>231</v>
      </c>
      <c r="B50" s="41" t="s">
        <v>232</v>
      </c>
      <c r="C50" s="51">
        <v>2010</v>
      </c>
      <c r="D50" s="41" t="s">
        <v>14</v>
      </c>
      <c r="E50" s="51">
        <v>70</v>
      </c>
      <c r="F50" s="57" t="s">
        <v>233</v>
      </c>
      <c r="G50" s="57" t="s">
        <v>75</v>
      </c>
      <c r="H50" s="57" t="s">
        <v>76</v>
      </c>
      <c r="I50" s="57" t="s">
        <v>77</v>
      </c>
      <c r="J50" s="57" t="s">
        <v>81</v>
      </c>
      <c r="K50" s="57" t="s">
        <v>83</v>
      </c>
      <c r="L50" s="57" t="s">
        <v>84</v>
      </c>
      <c r="M50" s="57" t="s">
        <v>119</v>
      </c>
      <c r="N50" s="57" t="s">
        <v>119</v>
      </c>
      <c r="O50" s="58" t="s">
        <v>120</v>
      </c>
      <c r="P50" s="58" t="s">
        <v>120</v>
      </c>
      <c r="Q50" s="61">
        <v>10</v>
      </c>
      <c r="R50" s="61">
        <v>10</v>
      </c>
      <c r="S50" s="61">
        <v>10</v>
      </c>
      <c r="T50" s="61">
        <v>10</v>
      </c>
      <c r="U50" s="65">
        <v>0.5</v>
      </c>
      <c r="V50" s="65">
        <v>0.1</v>
      </c>
      <c r="W50" s="65">
        <v>0.5</v>
      </c>
      <c r="X50" s="65">
        <v>0.1</v>
      </c>
      <c r="Y50" s="57" t="s">
        <v>235</v>
      </c>
      <c r="Z50" s="67">
        <v>2</v>
      </c>
      <c r="AA50" s="67">
        <v>2</v>
      </c>
      <c r="AB50" s="67" t="s">
        <v>178</v>
      </c>
      <c r="AC50" s="67" t="s">
        <v>141</v>
      </c>
      <c r="AD50" s="67" t="s">
        <v>142</v>
      </c>
      <c r="AE50" s="67" t="s">
        <v>14</v>
      </c>
      <c r="AF50" s="67" t="s">
        <v>14</v>
      </c>
      <c r="AG50" s="67" t="s">
        <v>144</v>
      </c>
      <c r="AH50" s="67" t="s">
        <v>179</v>
      </c>
      <c r="AI50" s="67" t="s">
        <v>14</v>
      </c>
      <c r="AJ50" s="67" t="s">
        <v>14</v>
      </c>
      <c r="AK50" s="67"/>
      <c r="AL50" s="67"/>
    </row>
    <row r="51" spans="1:39" s="38" customFormat="1" x14ac:dyDescent="0.25">
      <c r="A51" s="42" t="s">
        <v>106</v>
      </c>
      <c r="B51" s="43" t="s">
        <v>98</v>
      </c>
      <c r="C51" s="50">
        <v>2015</v>
      </c>
      <c r="D51" s="44" t="s">
        <v>14</v>
      </c>
      <c r="E51" s="50">
        <v>42</v>
      </c>
      <c r="F51" s="56" t="s">
        <v>255</v>
      </c>
      <c r="G51" s="69" t="s">
        <v>75</v>
      </c>
      <c r="H51" s="56" t="s">
        <v>76</v>
      </c>
      <c r="I51" s="56" t="s">
        <v>77</v>
      </c>
      <c r="J51" s="14" t="s">
        <v>25</v>
      </c>
      <c r="K51" s="16" t="s">
        <v>82</v>
      </c>
      <c r="L51" s="17" t="s">
        <v>82</v>
      </c>
      <c r="M51" s="14" t="s">
        <v>134</v>
      </c>
      <c r="N51" s="14" t="s">
        <v>134</v>
      </c>
      <c r="O51" s="17" t="s">
        <v>135</v>
      </c>
      <c r="P51" s="17" t="s">
        <v>135</v>
      </c>
      <c r="Q51" s="21" t="s">
        <v>25</v>
      </c>
      <c r="R51" s="21" t="s">
        <v>25</v>
      </c>
      <c r="S51" s="21" t="s">
        <v>25</v>
      </c>
      <c r="T51" s="21" t="s">
        <v>25</v>
      </c>
      <c r="U51" s="18">
        <v>0.75</v>
      </c>
      <c r="V51" s="18">
        <v>0.1</v>
      </c>
      <c r="W51" s="18">
        <v>0.75</v>
      </c>
      <c r="X51" s="22">
        <v>0.1</v>
      </c>
      <c r="Y51" s="19"/>
      <c r="Z51" s="8">
        <v>1</v>
      </c>
      <c r="AA51" s="8" t="s">
        <v>150</v>
      </c>
      <c r="AB51" s="8" t="s">
        <v>140</v>
      </c>
      <c r="AC51" s="8" t="s">
        <v>141</v>
      </c>
      <c r="AD51" s="8" t="s">
        <v>142</v>
      </c>
      <c r="AE51" s="8" t="s">
        <v>14</v>
      </c>
      <c r="AF51" s="8" t="s">
        <v>14</v>
      </c>
      <c r="AG51" s="8" t="s">
        <v>144</v>
      </c>
      <c r="AH51" s="8">
        <v>5</v>
      </c>
      <c r="AI51" s="8" t="s">
        <v>14</v>
      </c>
      <c r="AJ51" s="8" t="s">
        <v>14</v>
      </c>
      <c r="AK51" s="8">
        <v>100</v>
      </c>
      <c r="AL51" s="9"/>
    </row>
    <row r="52" spans="1:39" s="38" customFormat="1" x14ac:dyDescent="0.25">
      <c r="A52" s="42" t="s">
        <v>106</v>
      </c>
      <c r="B52" s="43" t="s">
        <v>98</v>
      </c>
      <c r="C52" s="50">
        <v>2015</v>
      </c>
      <c r="D52" s="44" t="s">
        <v>14</v>
      </c>
      <c r="E52" s="50">
        <v>42</v>
      </c>
      <c r="F52" s="56" t="s">
        <v>255</v>
      </c>
      <c r="G52" s="69" t="s">
        <v>75</v>
      </c>
      <c r="H52" s="56" t="s">
        <v>76</v>
      </c>
      <c r="I52" s="56" t="s">
        <v>77</v>
      </c>
      <c r="J52" s="14" t="s">
        <v>25</v>
      </c>
      <c r="K52" s="16" t="s">
        <v>82</v>
      </c>
      <c r="L52" s="17" t="s">
        <v>82</v>
      </c>
      <c r="M52" s="14" t="s">
        <v>134</v>
      </c>
      <c r="N52" s="14" t="s">
        <v>134</v>
      </c>
      <c r="O52" s="17" t="s">
        <v>135</v>
      </c>
      <c r="P52" s="17" t="s">
        <v>135</v>
      </c>
      <c r="Q52" s="21" t="s">
        <v>25</v>
      </c>
      <c r="R52" s="21" t="s">
        <v>25</v>
      </c>
      <c r="S52" s="21" t="s">
        <v>25</v>
      </c>
      <c r="T52" s="21" t="s">
        <v>25</v>
      </c>
      <c r="U52" s="18">
        <v>0.75</v>
      </c>
      <c r="V52" s="18">
        <v>0.1</v>
      </c>
      <c r="W52" s="18">
        <v>0.75</v>
      </c>
      <c r="X52" s="22">
        <v>0.1</v>
      </c>
      <c r="Y52" s="19"/>
      <c r="Z52" s="26">
        <v>2</v>
      </c>
      <c r="AA52" s="8"/>
      <c r="AB52" s="56" t="s">
        <v>163</v>
      </c>
      <c r="AC52" s="56" t="s">
        <v>164</v>
      </c>
      <c r="AD52" s="56" t="s">
        <v>14</v>
      </c>
      <c r="AE52" s="56" t="s">
        <v>14</v>
      </c>
      <c r="AF52" s="56" t="s">
        <v>14</v>
      </c>
      <c r="AG52" s="56" t="s">
        <v>14</v>
      </c>
      <c r="AH52" s="56" t="s">
        <v>14</v>
      </c>
      <c r="AI52" s="56" t="s">
        <v>14</v>
      </c>
      <c r="AJ52" s="56" t="s">
        <v>14</v>
      </c>
      <c r="AK52" s="8">
        <v>100</v>
      </c>
      <c r="AL52" s="9"/>
    </row>
    <row r="53" spans="1:39" s="38" customFormat="1" x14ac:dyDescent="0.25">
      <c r="A53" s="42" t="s">
        <v>106</v>
      </c>
      <c r="B53" s="43" t="s">
        <v>98</v>
      </c>
      <c r="C53" s="50">
        <v>2015</v>
      </c>
      <c r="D53" s="44" t="s">
        <v>14</v>
      </c>
      <c r="E53" s="50">
        <v>42</v>
      </c>
      <c r="F53" s="56" t="s">
        <v>255</v>
      </c>
      <c r="G53" s="69" t="s">
        <v>75</v>
      </c>
      <c r="H53" s="56" t="s">
        <v>76</v>
      </c>
      <c r="I53" s="56" t="s">
        <v>77</v>
      </c>
      <c r="J53" s="14" t="s">
        <v>25</v>
      </c>
      <c r="K53" s="16" t="s">
        <v>82</v>
      </c>
      <c r="L53" s="17" t="s">
        <v>82</v>
      </c>
      <c r="M53" s="14" t="s">
        <v>134</v>
      </c>
      <c r="N53" s="14" t="s">
        <v>134</v>
      </c>
      <c r="O53" s="17" t="s">
        <v>135</v>
      </c>
      <c r="P53" s="17" t="s">
        <v>135</v>
      </c>
      <c r="Q53" s="21" t="s">
        <v>25</v>
      </c>
      <c r="R53" s="21" t="s">
        <v>25</v>
      </c>
      <c r="S53" s="21" t="s">
        <v>25</v>
      </c>
      <c r="T53" s="21" t="s">
        <v>25</v>
      </c>
      <c r="U53" s="18">
        <v>0.75</v>
      </c>
      <c r="V53" s="18">
        <v>0.1</v>
      </c>
      <c r="W53" s="18">
        <v>0.75</v>
      </c>
      <c r="X53" s="22">
        <v>0.1</v>
      </c>
      <c r="Y53" s="19"/>
      <c r="Z53" s="26">
        <v>3</v>
      </c>
      <c r="AA53" s="8"/>
      <c r="AB53" s="56" t="s">
        <v>165</v>
      </c>
      <c r="AC53" s="56" t="s">
        <v>158</v>
      </c>
      <c r="AD53" s="56" t="s">
        <v>14</v>
      </c>
      <c r="AE53" s="56" t="s">
        <v>14</v>
      </c>
      <c r="AF53" s="56" t="s">
        <v>168</v>
      </c>
      <c r="AG53" s="56" t="s">
        <v>14</v>
      </c>
      <c r="AH53" s="56" t="s">
        <v>14</v>
      </c>
      <c r="AI53" s="56" t="s">
        <v>14</v>
      </c>
      <c r="AJ53" s="56" t="s">
        <v>14</v>
      </c>
      <c r="AK53" s="8">
        <v>100</v>
      </c>
      <c r="AL53" s="9"/>
    </row>
    <row r="54" spans="1:39" s="38" customFormat="1" x14ac:dyDescent="0.25">
      <c r="A54" s="42" t="s">
        <v>106</v>
      </c>
      <c r="B54" s="43" t="s">
        <v>98</v>
      </c>
      <c r="C54" s="50">
        <v>2015</v>
      </c>
      <c r="D54" s="44" t="s">
        <v>14</v>
      </c>
      <c r="E54" s="50">
        <v>42</v>
      </c>
      <c r="F54" s="56" t="s">
        <v>255</v>
      </c>
      <c r="G54" s="69" t="s">
        <v>75</v>
      </c>
      <c r="H54" s="56" t="s">
        <v>76</v>
      </c>
      <c r="I54" s="56" t="s">
        <v>77</v>
      </c>
      <c r="J54" s="14" t="s">
        <v>25</v>
      </c>
      <c r="K54" s="16" t="s">
        <v>82</v>
      </c>
      <c r="L54" s="17" t="s">
        <v>82</v>
      </c>
      <c r="M54" s="14" t="s">
        <v>134</v>
      </c>
      <c r="N54" s="14" t="s">
        <v>134</v>
      </c>
      <c r="O54" s="17" t="s">
        <v>135</v>
      </c>
      <c r="P54" s="17" t="s">
        <v>135</v>
      </c>
      <c r="Q54" s="21" t="s">
        <v>25</v>
      </c>
      <c r="R54" s="21" t="s">
        <v>25</v>
      </c>
      <c r="S54" s="21" t="s">
        <v>25</v>
      </c>
      <c r="T54" s="21" t="s">
        <v>25</v>
      </c>
      <c r="U54" s="18">
        <v>0.75</v>
      </c>
      <c r="V54" s="18">
        <v>0.1</v>
      </c>
      <c r="W54" s="18">
        <v>0.75</v>
      </c>
      <c r="X54" s="22">
        <v>0.1</v>
      </c>
      <c r="Y54" s="19"/>
      <c r="Z54" s="26">
        <v>4</v>
      </c>
      <c r="AA54" s="8"/>
      <c r="AB54" s="56" t="s">
        <v>166</v>
      </c>
      <c r="AC54" s="56" t="s">
        <v>158</v>
      </c>
      <c r="AD54" s="56" t="s">
        <v>14</v>
      </c>
      <c r="AE54" s="56" t="s">
        <v>14</v>
      </c>
      <c r="AF54" s="56" t="s">
        <v>167</v>
      </c>
      <c r="AG54" s="56" t="s">
        <v>14</v>
      </c>
      <c r="AH54" s="56" t="s">
        <v>14</v>
      </c>
      <c r="AI54" s="56" t="s">
        <v>14</v>
      </c>
      <c r="AJ54" s="56" t="s">
        <v>14</v>
      </c>
      <c r="AK54" s="8">
        <v>100</v>
      </c>
      <c r="AL54" s="9"/>
    </row>
    <row r="55" spans="1:39" s="38" customFormat="1" x14ac:dyDescent="0.25">
      <c r="A55" s="42" t="s">
        <v>106</v>
      </c>
      <c r="B55" s="43" t="s">
        <v>98</v>
      </c>
      <c r="C55" s="50">
        <v>2015</v>
      </c>
      <c r="D55" s="44" t="s">
        <v>14</v>
      </c>
      <c r="E55" s="50">
        <v>42</v>
      </c>
      <c r="F55" s="56" t="s">
        <v>255</v>
      </c>
      <c r="G55" s="69" t="s">
        <v>75</v>
      </c>
      <c r="H55" s="56" t="s">
        <v>76</v>
      </c>
      <c r="I55" s="56" t="s">
        <v>77</v>
      </c>
      <c r="J55" s="14" t="s">
        <v>25</v>
      </c>
      <c r="K55" s="16" t="s">
        <v>82</v>
      </c>
      <c r="L55" s="17" t="s">
        <v>82</v>
      </c>
      <c r="M55" s="14" t="s">
        <v>134</v>
      </c>
      <c r="N55" s="14" t="s">
        <v>134</v>
      </c>
      <c r="O55" s="17" t="s">
        <v>135</v>
      </c>
      <c r="P55" s="17" t="s">
        <v>135</v>
      </c>
      <c r="Q55" s="21" t="s">
        <v>25</v>
      </c>
      <c r="R55" s="21" t="s">
        <v>25</v>
      </c>
      <c r="S55" s="21" t="s">
        <v>25</v>
      </c>
      <c r="T55" s="21" t="s">
        <v>25</v>
      </c>
      <c r="U55" s="18">
        <v>0.75</v>
      </c>
      <c r="V55" s="18">
        <v>0.1</v>
      </c>
      <c r="W55" s="18">
        <v>0.75</v>
      </c>
      <c r="X55" s="22">
        <v>0.1</v>
      </c>
      <c r="Y55" s="19"/>
      <c r="Z55" s="26">
        <v>5</v>
      </c>
      <c r="AA55" s="8" t="s">
        <v>151</v>
      </c>
      <c r="AB55" s="8" t="s">
        <v>152</v>
      </c>
      <c r="AC55" s="8" t="s">
        <v>141</v>
      </c>
      <c r="AD55" s="8" t="s">
        <v>14</v>
      </c>
      <c r="AE55" s="8" t="s">
        <v>14</v>
      </c>
      <c r="AF55" s="8" t="s">
        <v>14</v>
      </c>
      <c r="AG55" s="8" t="s">
        <v>144</v>
      </c>
      <c r="AH55" s="8">
        <v>5</v>
      </c>
      <c r="AI55" s="8" t="s">
        <v>14</v>
      </c>
      <c r="AJ55" s="8" t="s">
        <v>14</v>
      </c>
      <c r="AK55" s="8">
        <v>100</v>
      </c>
      <c r="AL55" s="9"/>
    </row>
    <row r="56" spans="1:39" s="38" customFormat="1" x14ac:dyDescent="0.25">
      <c r="A56" s="40" t="s">
        <v>236</v>
      </c>
      <c r="B56" s="41" t="s">
        <v>237</v>
      </c>
      <c r="C56" s="51">
        <v>2015</v>
      </c>
      <c r="D56" s="41" t="s">
        <v>14</v>
      </c>
      <c r="E56" s="51">
        <v>42</v>
      </c>
      <c r="F56" s="56" t="s">
        <v>25</v>
      </c>
      <c r="G56" s="56" t="s">
        <v>25</v>
      </c>
      <c r="H56" s="56" t="s">
        <v>25</v>
      </c>
      <c r="I56" s="56" t="s">
        <v>25</v>
      </c>
      <c r="J56" s="57" t="s">
        <v>25</v>
      </c>
      <c r="K56" s="57" t="s">
        <v>238</v>
      </c>
      <c r="L56" s="57" t="s">
        <v>239</v>
      </c>
      <c r="M56" s="60" t="s">
        <v>240</v>
      </c>
      <c r="N56" s="60" t="s">
        <v>240</v>
      </c>
      <c r="O56" s="58" t="s">
        <v>241</v>
      </c>
      <c r="P56" s="58" t="s">
        <v>241</v>
      </c>
      <c r="Q56" s="57" t="s">
        <v>25</v>
      </c>
      <c r="R56" s="57" t="s">
        <v>25</v>
      </c>
      <c r="S56" s="57" t="s">
        <v>25</v>
      </c>
      <c r="T56" s="57" t="s">
        <v>25</v>
      </c>
      <c r="U56" s="59">
        <v>0.75</v>
      </c>
      <c r="V56" s="59">
        <v>0.1</v>
      </c>
      <c r="W56" s="59">
        <v>0.75</v>
      </c>
      <c r="X56" s="59">
        <v>0.1</v>
      </c>
      <c r="Y56" s="57" t="s">
        <v>242</v>
      </c>
      <c r="Z56" s="67">
        <v>1</v>
      </c>
      <c r="AA56" s="67">
        <v>2</v>
      </c>
      <c r="AB56" s="67" t="s">
        <v>178</v>
      </c>
      <c r="AC56" s="67" t="s">
        <v>141</v>
      </c>
      <c r="AD56" s="67" t="s">
        <v>142</v>
      </c>
      <c r="AE56" s="67" t="s">
        <v>14</v>
      </c>
      <c r="AF56" s="67" t="s">
        <v>14</v>
      </c>
      <c r="AG56" s="67" t="s">
        <v>144</v>
      </c>
      <c r="AH56" s="67" t="s">
        <v>179</v>
      </c>
      <c r="AI56" s="67" t="s">
        <v>14</v>
      </c>
      <c r="AJ56" s="67" t="s">
        <v>14</v>
      </c>
      <c r="AK56" s="67"/>
      <c r="AL56" s="67"/>
    </row>
    <row r="57" spans="1:39" s="38" customFormat="1" x14ac:dyDescent="0.25">
      <c r="A57" s="40" t="s">
        <v>236</v>
      </c>
      <c r="B57" s="41" t="s">
        <v>237</v>
      </c>
      <c r="C57" s="51">
        <v>2015</v>
      </c>
      <c r="D57" s="41" t="s">
        <v>14</v>
      </c>
      <c r="E57" s="51">
        <v>42</v>
      </c>
      <c r="F57" s="56" t="s">
        <v>25</v>
      </c>
      <c r="G57" s="56" t="s">
        <v>25</v>
      </c>
      <c r="H57" s="56" t="s">
        <v>25</v>
      </c>
      <c r="I57" s="56" t="s">
        <v>25</v>
      </c>
      <c r="J57" s="57" t="s">
        <v>25</v>
      </c>
      <c r="K57" s="57" t="s">
        <v>238</v>
      </c>
      <c r="L57" s="57" t="s">
        <v>239</v>
      </c>
      <c r="M57" s="60" t="s">
        <v>240</v>
      </c>
      <c r="N57" s="60" t="s">
        <v>240</v>
      </c>
      <c r="O57" s="58" t="s">
        <v>241</v>
      </c>
      <c r="P57" s="58" t="s">
        <v>241</v>
      </c>
      <c r="Q57" s="57" t="s">
        <v>25</v>
      </c>
      <c r="R57" s="57" t="s">
        <v>25</v>
      </c>
      <c r="S57" s="57" t="s">
        <v>25</v>
      </c>
      <c r="T57" s="57" t="s">
        <v>25</v>
      </c>
      <c r="U57" s="59">
        <v>0.75</v>
      </c>
      <c r="V57" s="59">
        <v>0.1</v>
      </c>
      <c r="W57" s="59">
        <v>0.75</v>
      </c>
      <c r="X57" s="59">
        <v>0.1</v>
      </c>
      <c r="Y57" s="57" t="s">
        <v>242</v>
      </c>
      <c r="Z57" s="67">
        <v>2</v>
      </c>
      <c r="AA57" s="39" t="s">
        <v>243</v>
      </c>
      <c r="AB57" s="56" t="s">
        <v>244</v>
      </c>
      <c r="AC57" s="56" t="s">
        <v>158</v>
      </c>
      <c r="AD57" s="56" t="s">
        <v>14</v>
      </c>
      <c r="AE57" s="56" t="s">
        <v>14</v>
      </c>
      <c r="AF57" s="56"/>
      <c r="AG57" s="56" t="s">
        <v>143</v>
      </c>
      <c r="AH57" s="56" t="s">
        <v>14</v>
      </c>
      <c r="AI57" s="56" t="s">
        <v>14</v>
      </c>
      <c r="AJ57" s="56" t="s">
        <v>14</v>
      </c>
      <c r="AK57" s="67"/>
      <c r="AL57" s="67"/>
      <c r="AM57" s="38" t="s">
        <v>245</v>
      </c>
    </row>
    <row r="58" spans="1:39" s="38" customFormat="1" x14ac:dyDescent="0.25">
      <c r="A58" s="40" t="s">
        <v>236</v>
      </c>
      <c r="B58" s="41" t="s">
        <v>237</v>
      </c>
      <c r="C58" s="51">
        <v>2015</v>
      </c>
      <c r="D58" s="41" t="s">
        <v>14</v>
      </c>
      <c r="E58" s="51">
        <v>42</v>
      </c>
      <c r="F58" s="56" t="s">
        <v>25</v>
      </c>
      <c r="G58" s="56" t="s">
        <v>25</v>
      </c>
      <c r="H58" s="56" t="s">
        <v>25</v>
      </c>
      <c r="I58" s="56" t="s">
        <v>25</v>
      </c>
      <c r="J58" s="57" t="s">
        <v>25</v>
      </c>
      <c r="K58" s="57" t="s">
        <v>238</v>
      </c>
      <c r="L58" s="57" t="s">
        <v>239</v>
      </c>
      <c r="M58" s="60" t="s">
        <v>240</v>
      </c>
      <c r="N58" s="60" t="s">
        <v>240</v>
      </c>
      <c r="O58" s="58" t="s">
        <v>241</v>
      </c>
      <c r="P58" s="58" t="s">
        <v>241</v>
      </c>
      <c r="Q58" s="57" t="s">
        <v>25</v>
      </c>
      <c r="R58" s="57" t="s">
        <v>25</v>
      </c>
      <c r="S58" s="57" t="s">
        <v>25</v>
      </c>
      <c r="T58" s="57" t="s">
        <v>25</v>
      </c>
      <c r="U58" s="59">
        <v>0.75</v>
      </c>
      <c r="V58" s="59">
        <v>0.1</v>
      </c>
      <c r="W58" s="59">
        <v>0.75</v>
      </c>
      <c r="X58" s="59">
        <v>0.1</v>
      </c>
      <c r="Y58" s="57" t="s">
        <v>242</v>
      </c>
      <c r="Z58" s="67">
        <v>3</v>
      </c>
      <c r="AA58" s="67" t="s">
        <v>175</v>
      </c>
      <c r="AB58" s="67" t="s">
        <v>246</v>
      </c>
      <c r="AC58" s="67" t="s">
        <v>141</v>
      </c>
      <c r="AD58" s="67"/>
      <c r="AE58" s="67" t="s">
        <v>14</v>
      </c>
      <c r="AF58" s="67" t="s">
        <v>14</v>
      </c>
      <c r="AG58" s="67" t="s">
        <v>144</v>
      </c>
      <c r="AH58" s="67" t="s">
        <v>179</v>
      </c>
      <c r="AI58" s="67" t="s">
        <v>14</v>
      </c>
      <c r="AJ58" s="67" t="s">
        <v>14</v>
      </c>
      <c r="AK58" s="67"/>
      <c r="AL58" s="67"/>
    </row>
    <row r="59" spans="1:39" s="38" customFormat="1" x14ac:dyDescent="0.25">
      <c r="A59" s="42" t="s">
        <v>107</v>
      </c>
      <c r="B59" s="43" t="s">
        <v>99</v>
      </c>
      <c r="C59" s="50">
        <v>2021</v>
      </c>
      <c r="D59" s="44" t="s">
        <v>14</v>
      </c>
      <c r="E59" s="50">
        <v>84</v>
      </c>
      <c r="F59" s="19" t="s">
        <v>25</v>
      </c>
      <c r="G59" s="14" t="s">
        <v>25</v>
      </c>
      <c r="H59" s="19" t="s">
        <v>79</v>
      </c>
      <c r="I59" s="19" t="s">
        <v>25</v>
      </c>
      <c r="J59" s="14" t="s">
        <v>25</v>
      </c>
      <c r="K59" s="16" t="s">
        <v>25</v>
      </c>
      <c r="L59" s="17" t="s">
        <v>25</v>
      </c>
      <c r="M59" s="14" t="s">
        <v>136</v>
      </c>
      <c r="N59" s="19" t="s">
        <v>136</v>
      </c>
      <c r="O59" s="17" t="s">
        <v>137</v>
      </c>
      <c r="P59" s="17" t="s">
        <v>137</v>
      </c>
      <c r="Q59" s="21">
        <v>10</v>
      </c>
      <c r="R59" s="21">
        <v>10</v>
      </c>
      <c r="S59" s="21">
        <v>10</v>
      </c>
      <c r="T59" s="21">
        <v>10</v>
      </c>
      <c r="U59" s="14" t="s">
        <v>25</v>
      </c>
      <c r="V59" s="14" t="s">
        <v>25</v>
      </c>
      <c r="W59" s="14" t="s">
        <v>25</v>
      </c>
      <c r="X59" s="19" t="s">
        <v>25</v>
      </c>
      <c r="Y59" s="19"/>
      <c r="Z59" s="26">
        <v>1</v>
      </c>
      <c r="AA59" s="8"/>
      <c r="AB59" s="56" t="s">
        <v>169</v>
      </c>
      <c r="AC59" s="56" t="s">
        <v>141</v>
      </c>
      <c r="AD59" s="56" t="s">
        <v>142</v>
      </c>
      <c r="AE59" s="56" t="s">
        <v>14</v>
      </c>
      <c r="AF59" s="56" t="s">
        <v>14</v>
      </c>
      <c r="AG59" s="56" t="s">
        <v>4</v>
      </c>
      <c r="AH59" s="56" t="s">
        <v>14</v>
      </c>
      <c r="AI59" s="56">
        <v>0.4</v>
      </c>
      <c r="AJ59" s="56">
        <v>0</v>
      </c>
      <c r="AK59" s="8">
        <v>100</v>
      </c>
      <c r="AL59" s="9"/>
    </row>
    <row r="60" spans="1:39" s="38" customFormat="1" x14ac:dyDescent="0.25">
      <c r="A60" s="42" t="s">
        <v>107</v>
      </c>
      <c r="B60" s="43" t="s">
        <v>99</v>
      </c>
      <c r="C60" s="50">
        <v>2021</v>
      </c>
      <c r="D60" s="44" t="s">
        <v>14</v>
      </c>
      <c r="E60" s="50">
        <v>84</v>
      </c>
      <c r="F60" s="19" t="s">
        <v>25</v>
      </c>
      <c r="G60" s="14" t="s">
        <v>25</v>
      </c>
      <c r="H60" s="19" t="s">
        <v>79</v>
      </c>
      <c r="I60" s="19" t="s">
        <v>25</v>
      </c>
      <c r="J60" s="14" t="s">
        <v>25</v>
      </c>
      <c r="K60" s="16" t="s">
        <v>25</v>
      </c>
      <c r="L60" s="17" t="s">
        <v>25</v>
      </c>
      <c r="M60" s="14" t="s">
        <v>136</v>
      </c>
      <c r="N60" s="19" t="s">
        <v>136</v>
      </c>
      <c r="O60" s="17" t="s">
        <v>137</v>
      </c>
      <c r="P60" s="17" t="s">
        <v>137</v>
      </c>
      <c r="Q60" s="21">
        <v>10</v>
      </c>
      <c r="R60" s="21">
        <v>10</v>
      </c>
      <c r="S60" s="21">
        <v>10</v>
      </c>
      <c r="T60" s="21">
        <v>10</v>
      </c>
      <c r="U60" s="14" t="s">
        <v>25</v>
      </c>
      <c r="V60" s="14" t="s">
        <v>25</v>
      </c>
      <c r="W60" s="14" t="s">
        <v>25</v>
      </c>
      <c r="X60" s="19" t="s">
        <v>25</v>
      </c>
      <c r="Y60" s="19"/>
      <c r="Z60" s="26">
        <v>2</v>
      </c>
      <c r="AA60" s="8"/>
      <c r="AB60" s="56" t="s">
        <v>170</v>
      </c>
      <c r="AC60" s="56" t="s">
        <v>141</v>
      </c>
      <c r="AD60" s="56" t="s">
        <v>142</v>
      </c>
      <c r="AE60" s="56" t="s">
        <v>14</v>
      </c>
      <c r="AF60" s="56" t="s">
        <v>14</v>
      </c>
      <c r="AG60" s="56" t="s">
        <v>4</v>
      </c>
      <c r="AH60" s="56" t="s">
        <v>14</v>
      </c>
      <c r="AI60" s="56">
        <v>0</v>
      </c>
      <c r="AJ60" s="56">
        <v>0.6</v>
      </c>
      <c r="AK60" s="8">
        <v>100</v>
      </c>
      <c r="AL60" s="9"/>
    </row>
    <row r="61" spans="1:39" s="38" customFormat="1" x14ac:dyDescent="0.25">
      <c r="A61" s="40" t="s">
        <v>247</v>
      </c>
      <c r="B61" s="41" t="s">
        <v>248</v>
      </c>
      <c r="C61" s="51">
        <v>2021</v>
      </c>
      <c r="D61" s="41" t="s">
        <v>14</v>
      </c>
      <c r="E61" s="51">
        <v>84</v>
      </c>
      <c r="F61" s="57" t="s">
        <v>25</v>
      </c>
      <c r="G61" s="57" t="s">
        <v>25</v>
      </c>
      <c r="H61" s="57" t="s">
        <v>79</v>
      </c>
      <c r="I61" s="57" t="s">
        <v>25</v>
      </c>
      <c r="J61" s="57" t="s">
        <v>25</v>
      </c>
      <c r="K61" s="57" t="s">
        <v>25</v>
      </c>
      <c r="L61" s="57" t="s">
        <v>25</v>
      </c>
      <c r="M61" s="57" t="s">
        <v>136</v>
      </c>
      <c r="N61" s="57" t="s">
        <v>136</v>
      </c>
      <c r="O61" s="58" t="s">
        <v>137</v>
      </c>
      <c r="P61" s="58" t="s">
        <v>137</v>
      </c>
      <c r="Q61" s="57">
        <v>10</v>
      </c>
      <c r="R61" s="57">
        <v>10</v>
      </c>
      <c r="S61" s="57">
        <v>10</v>
      </c>
      <c r="T61" s="57">
        <v>10</v>
      </c>
      <c r="U61" s="57" t="s">
        <v>25</v>
      </c>
      <c r="V61" s="57" t="s">
        <v>25</v>
      </c>
      <c r="W61" s="61" t="s">
        <v>25</v>
      </c>
      <c r="X61" s="57" t="s">
        <v>25</v>
      </c>
      <c r="Y61" s="57" t="s">
        <v>249</v>
      </c>
      <c r="Z61" s="67">
        <v>1</v>
      </c>
      <c r="AA61" s="67" t="s">
        <v>175</v>
      </c>
      <c r="AB61" s="56" t="s">
        <v>250</v>
      </c>
      <c r="AC61" s="56" t="s">
        <v>141</v>
      </c>
      <c r="AD61" s="56" t="s">
        <v>142</v>
      </c>
      <c r="AE61" s="56" t="s">
        <v>14</v>
      </c>
      <c r="AF61" s="56" t="s">
        <v>14</v>
      </c>
      <c r="AG61" s="56" t="s">
        <v>251</v>
      </c>
      <c r="AH61" s="56" t="s">
        <v>14</v>
      </c>
      <c r="AI61" s="56" t="s">
        <v>14</v>
      </c>
      <c r="AJ61" s="56" t="s">
        <v>14</v>
      </c>
      <c r="AK61" s="67"/>
      <c r="AL61" s="67"/>
      <c r="AM61" s="38" t="s">
        <v>252</v>
      </c>
    </row>
    <row r="62" spans="1:39" x14ac:dyDescent="0.25">
      <c r="W62" s="62"/>
    </row>
    <row r="63" spans="1:39" x14ac:dyDescent="0.25">
      <c r="G63" s="3" t="s">
        <v>254</v>
      </c>
      <c r="W63" s="62"/>
    </row>
    <row r="64" spans="1:39" x14ac:dyDescent="0.25">
      <c r="W64" s="62"/>
    </row>
    <row r="65" spans="23:23" x14ac:dyDescent="0.25">
      <c r="W65" s="62"/>
    </row>
    <row r="66" spans="23:23" x14ac:dyDescent="0.25">
      <c r="W66" s="62"/>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dc:creator>
  <cp:lastModifiedBy>Annika</cp:lastModifiedBy>
  <dcterms:created xsi:type="dcterms:W3CDTF">2015-06-05T18:19:34Z</dcterms:created>
  <dcterms:modified xsi:type="dcterms:W3CDTF">2022-12-05T18:16:26Z</dcterms:modified>
</cp:coreProperties>
</file>